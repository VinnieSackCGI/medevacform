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SACK\medevacform\Examples\"/>
    </mc:Choice>
  </mc:AlternateContent>
  <xr:revisionPtr revIDLastSave="0" documentId="13_ncr:1_{48F6C29D-C902-457B-868C-B3E24EDCA878}" xr6:coauthVersionLast="47" xr6:coauthVersionMax="47" xr10:uidLastSave="{00000000-0000-0000-0000-000000000000}"/>
  <bookViews>
    <workbookView xWindow="3765" yWindow="2820" windowWidth="21600" windowHeight="11235" xr2:uid="{25E9BD87-192D-4B2A-A39F-6FEB9A769302}"/>
  </bookViews>
  <sheets>
    <sheet name="Instructions" sheetId="3" r:id="rId1"/>
    <sheet name="MEDEVAC Case Log" sheetId="5" r:id="rId2"/>
    <sheet name="FY2023 MEDEVAC Tracker" sheetId="2" r:id="rId3"/>
    <sheet name="MEDEVAC Add'l Travlr Calculator" sheetId="4" r:id="rId4"/>
    <sheet name="List" sheetId="1" r:id="rId5"/>
  </sheets>
  <externalReferences>
    <externalReference r:id="rId6"/>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W3" i="4" l="1"/>
  <c r="DM3" i="4"/>
  <c r="DC3" i="4"/>
  <c r="CS3" i="4"/>
  <c r="CI3" i="4"/>
  <c r="BY3" i="4"/>
  <c r="BO3" i="4"/>
  <c r="BE3" i="4"/>
  <c r="AU3" i="4"/>
  <c r="AK3" i="4"/>
  <c r="AA3" i="4"/>
  <c r="Q3" i="4"/>
  <c r="D3" i="4"/>
  <c r="AJ8" i="2"/>
  <c r="AM8" i="2" s="1"/>
  <c r="AN8" i="2" s="1"/>
  <c r="AJ9" i="2"/>
  <c r="AJ10" i="2"/>
  <c r="AJ11" i="2"/>
  <c r="AM11" i="2" s="1"/>
  <c r="AN11" i="2" s="1"/>
  <c r="AJ12" i="2"/>
  <c r="AM12" i="2" s="1"/>
  <c r="AN12" i="2" s="1"/>
  <c r="AM9" i="2"/>
  <c r="AN9" i="2" s="1"/>
  <c r="IN9" i="2"/>
  <c r="IN10" i="2"/>
  <c r="IN11" i="2"/>
  <c r="IN12" i="2"/>
  <c r="IN8" i="2"/>
  <c r="IK8" i="2"/>
  <c r="IK9" i="2"/>
  <c r="IK10" i="2"/>
  <c r="IK11" i="2"/>
  <c r="IK12" i="2"/>
  <c r="IJ8" i="2"/>
  <c r="IJ9" i="2"/>
  <c r="IJ10" i="2"/>
  <c r="IJ11" i="2"/>
  <c r="IJ12" i="2"/>
  <c r="HB8" i="2"/>
  <c r="HB9" i="2"/>
  <c r="HB10" i="2"/>
  <c r="HB11" i="2"/>
  <c r="HB12" i="2"/>
  <c r="GW9" i="2"/>
  <c r="GW10" i="2"/>
  <c r="GW11" i="2"/>
  <c r="GW12" i="2"/>
  <c r="GW8" i="2"/>
  <c r="GV9" i="2"/>
  <c r="GV10" i="2"/>
  <c r="GV11" i="2"/>
  <c r="GV12" i="2"/>
  <c r="GV8" i="2"/>
  <c r="GJ8" i="2"/>
  <c r="GJ9" i="2"/>
  <c r="GJ10" i="2"/>
  <c r="GJ11" i="2"/>
  <c r="GJ12" i="2"/>
  <c r="GE9" i="2"/>
  <c r="GE10" i="2"/>
  <c r="GE11" i="2"/>
  <c r="GE12" i="2"/>
  <c r="FL8" i="2"/>
  <c r="FL9" i="2"/>
  <c r="FL10" i="2"/>
  <c r="FM10" i="2" s="1"/>
  <c r="FL11" i="2"/>
  <c r="FM11" i="2" s="1"/>
  <c r="FL12" i="2"/>
  <c r="FM12" i="2" s="1"/>
  <c r="GE8" i="2"/>
  <c r="FR9" i="2"/>
  <c r="FR10" i="2"/>
  <c r="FR11" i="2"/>
  <c r="FR12" i="2"/>
  <c r="FR8" i="2"/>
  <c r="FM9" i="2"/>
  <c r="FM8" i="2"/>
  <c r="EZ9" i="2"/>
  <c r="EZ10" i="2"/>
  <c r="EZ11" i="2"/>
  <c r="EZ12" i="2"/>
  <c r="EZ8" i="2"/>
  <c r="EU9" i="2"/>
  <c r="EU10" i="2"/>
  <c r="EU11" i="2"/>
  <c r="EU12" i="2"/>
  <c r="EU8" i="2"/>
  <c r="ET9" i="2"/>
  <c r="ET10" i="2"/>
  <c r="ET11" i="2"/>
  <c r="ET12" i="2"/>
  <c r="ET8" i="2"/>
  <c r="EH8" i="2"/>
  <c r="EH9" i="2"/>
  <c r="EH10" i="2"/>
  <c r="EH11" i="2"/>
  <c r="EH12" i="2"/>
  <c r="EC9" i="2"/>
  <c r="EC10" i="2"/>
  <c r="EC11" i="2"/>
  <c r="EC12" i="2"/>
  <c r="EC8" i="2"/>
  <c r="EB9" i="2"/>
  <c r="EB10" i="2"/>
  <c r="EB11" i="2"/>
  <c r="EB12" i="2"/>
  <c r="EB8" i="2"/>
  <c r="DP9" i="2"/>
  <c r="DP10" i="2"/>
  <c r="DP11" i="2"/>
  <c r="DP12" i="2"/>
  <c r="DP8" i="2"/>
  <c r="DJ12" i="2"/>
  <c r="DJ10" i="2"/>
  <c r="DJ11" i="2"/>
  <c r="CX10" i="2"/>
  <c r="CX11" i="2"/>
  <c r="CX12" i="2"/>
  <c r="CR10" i="2"/>
  <c r="CS10" i="2" s="1"/>
  <c r="CR11" i="2"/>
  <c r="CS11" i="2" s="1"/>
  <c r="CR12" i="2"/>
  <c r="CS12" i="2" s="1"/>
  <c r="CF10" i="2"/>
  <c r="CF11" i="2"/>
  <c r="CF12" i="2"/>
  <c r="BZ10" i="2"/>
  <c r="CA10" i="2" s="1"/>
  <c r="BZ11" i="2"/>
  <c r="CA11" i="2" s="1"/>
  <c r="BZ12" i="2"/>
  <c r="CA12" i="2" s="1"/>
  <c r="BN10" i="2"/>
  <c r="BN11" i="2"/>
  <c r="BN12" i="2"/>
  <c r="BI10" i="2"/>
  <c r="BI11" i="2"/>
  <c r="BI12" i="2"/>
  <c r="BH10" i="2"/>
  <c r="BH11" i="2"/>
  <c r="BH12" i="2"/>
  <c r="BG10" i="2"/>
  <c r="BG11" i="2"/>
  <c r="BG12" i="2"/>
  <c r="AT10" i="2"/>
  <c r="AT11" i="2"/>
  <c r="AT12" i="2"/>
  <c r="AM10" i="2"/>
  <c r="AN10" i="2" s="1"/>
  <c r="Z10" i="2"/>
  <c r="Z11" i="2"/>
  <c r="Z12" i="2"/>
  <c r="U10" i="2"/>
  <c r="U11" i="2"/>
  <c r="U12" i="2"/>
  <c r="R10" i="2"/>
  <c r="R11" i="2"/>
  <c r="R12" i="2"/>
  <c r="Q10" i="2"/>
  <c r="Q11" i="2"/>
  <c r="Q12" i="2"/>
  <c r="O10" i="2"/>
  <c r="O11" i="2"/>
  <c r="O12" i="2"/>
  <c r="M10" i="2"/>
  <c r="M11" i="2"/>
  <c r="M12" i="2"/>
  <c r="I10" i="2"/>
  <c r="I11" i="2"/>
  <c r="I12" i="2"/>
  <c r="H10" i="2"/>
  <c r="H11" i="2"/>
  <c r="H12" i="2"/>
  <c r="D10" i="2"/>
  <c r="D11" i="2"/>
  <c r="D12" i="2"/>
  <c r="B10" i="2"/>
  <c r="B11" i="2"/>
  <c r="B12" i="2"/>
  <c r="DK9" i="2"/>
  <c r="DK10" i="2"/>
  <c r="DK11" i="2"/>
  <c r="DK12" i="2"/>
  <c r="D9" i="2"/>
  <c r="DK8" i="2"/>
  <c r="DJ9" i="2"/>
  <c r="DJ8" i="2"/>
  <c r="CX9" i="2"/>
  <c r="CX8" i="2"/>
  <c r="CS9" i="2"/>
  <c r="CS8" i="2"/>
  <c r="CR9" i="2"/>
  <c r="CR8" i="2"/>
  <c r="CF9" i="2"/>
  <c r="CF8" i="2"/>
  <c r="CA9" i="2"/>
  <c r="CA8" i="2"/>
  <c r="BZ9" i="2"/>
  <c r="BZ8" i="2"/>
  <c r="BN9" i="2"/>
  <c r="BN8" i="2"/>
  <c r="BI9" i="2"/>
  <c r="BI8" i="2"/>
  <c r="BH8" i="2"/>
  <c r="BH9" i="2"/>
  <c r="BG9" i="2"/>
  <c r="BG8" i="2"/>
  <c r="AT9" i="2"/>
  <c r="AT8" i="2"/>
  <c r="Z9" i="2"/>
  <c r="Z8" i="2"/>
  <c r="U9" i="2"/>
  <c r="B9" i="2"/>
  <c r="B8" i="2"/>
  <c r="U8" i="2"/>
  <c r="R9" i="2"/>
  <c r="R8" i="2"/>
  <c r="Q9" i="2"/>
  <c r="Q8" i="2"/>
  <c r="O9" i="2"/>
  <c r="O8" i="2"/>
  <c r="M9" i="2"/>
  <c r="M8" i="2"/>
  <c r="I9" i="2"/>
  <c r="C9" i="2" s="1"/>
  <c r="I8" i="2"/>
  <c r="H9" i="2"/>
  <c r="H8" i="2"/>
  <c r="D8" i="2"/>
  <c r="C8" i="2"/>
  <c r="G9" i="2" l="1"/>
  <c r="IO9" i="2" s="1"/>
  <c r="G8" i="2"/>
  <c r="IO8" i="2" s="1"/>
  <c r="G10" i="2"/>
  <c r="IO10" i="2" s="1"/>
  <c r="G11" i="2"/>
  <c r="IO11" i="2" s="1"/>
  <c r="G12" i="2"/>
  <c r="IO12" i="2" s="1"/>
</calcChain>
</file>

<file path=xl/sharedStrings.xml><?xml version="1.0" encoding="utf-8"?>
<sst xmlns="http://schemas.openxmlformats.org/spreadsheetml/2006/main" count="1473" uniqueCount="930">
  <si>
    <t>The MEDEVAC Tracker is used to track MEDEVAC missions and their corresponding obligation, origin/destination, agency, etc. for all patients MEDEVACed by the Bureau of Medical Services. There are 6 primary tabs:</t>
  </si>
  <si>
    <r>
      <t xml:space="preserve">1) </t>
    </r>
    <r>
      <rPr>
        <b/>
        <sz val="11"/>
        <color rgb="FF000000"/>
        <rFont val="Calibri"/>
        <family val="2"/>
      </rPr>
      <t>The MEDEVAC Case Summary</t>
    </r>
    <r>
      <rPr>
        <sz val="11"/>
        <color rgb="FF000000"/>
        <rFont val="Calibri"/>
        <family val="2"/>
      </rPr>
      <t xml:space="preserve"> tab provides quick reference data and visualizaitons on MEDEVAC cases, types, amendments, obligation amounts, etc. to analyze which regions/posts require relatively more MEDEVACs and why, how often they are amended/extended and for how long, the duration of MEDEVACs, etc.</t>
    </r>
  </si>
  <si>
    <r>
      <t xml:space="preserve">2) The </t>
    </r>
    <r>
      <rPr>
        <b/>
        <sz val="11"/>
        <color rgb="FF000000"/>
        <rFont val="Calibri"/>
        <family val="2"/>
      </rPr>
      <t>MEDEVAC Case Log</t>
    </r>
    <r>
      <rPr>
        <sz val="11"/>
        <color rgb="FF000000"/>
        <rFont val="Calibri"/>
        <family val="2"/>
      </rPr>
      <t xml:space="preserve"> tab provides a space to track cables as they come in and need to be processed. This tab is not meant to store data long term but should be added to the other tabs once processed.</t>
    </r>
  </si>
  <si>
    <r>
      <t xml:space="preserve">3) The </t>
    </r>
    <r>
      <rPr>
        <b/>
        <sz val="11"/>
        <color rgb="FF000000"/>
        <rFont val="Calibri"/>
        <family val="2"/>
      </rPr>
      <t xml:space="preserve">MEDEVACs </t>
    </r>
    <r>
      <rPr>
        <sz val="11"/>
        <color rgb="FF000000"/>
        <rFont val="Calibri"/>
        <family val="2"/>
      </rPr>
      <t xml:space="preserve"> tab is used to store all MEDEVAC related data for reach mission and its corresponding amendments and extensions as applcable.</t>
    </r>
  </si>
  <si>
    <r>
      <t xml:space="preserve">4) The </t>
    </r>
    <r>
      <rPr>
        <b/>
        <sz val="11"/>
        <color rgb="FF000000"/>
        <rFont val="Calibri"/>
        <family val="2"/>
      </rPr>
      <t>Additional Traveler Calculator</t>
    </r>
    <r>
      <rPr>
        <sz val="11"/>
        <color rgb="FF000000"/>
        <rFont val="Calibri"/>
        <family val="2"/>
      </rPr>
      <t xml:space="preserve"> tab provides a calculation of the total per diem authorized for each additional traveler.</t>
    </r>
  </si>
  <si>
    <t>Additionally, lists can be accessed and amended on the hidden Lists tab.</t>
  </si>
  <si>
    <t xml:space="preserve">To maintain data integrity, columns which use a formula have been locked. The password is MEDEVAC. </t>
  </si>
  <si>
    <t>LOOKUP</t>
  </si>
  <si>
    <t>MEDEVAC Status</t>
  </si>
  <si>
    <t>Cable Status</t>
  </si>
  <si>
    <t>Obligation Number</t>
  </si>
  <si>
    <t>MSG, DOS, or Seabee</t>
  </si>
  <si>
    <t>Patient Name</t>
  </si>
  <si>
    <t>Total Obligation</t>
  </si>
  <si>
    <t>Start Date</t>
  </si>
  <si>
    <t>End Date</t>
  </si>
  <si>
    <t>MEDEVAC Type</t>
  </si>
  <si>
    <t>Traveler Type</t>
  </si>
  <si>
    <t>Employee Status or Name</t>
  </si>
  <si>
    <t>Region</t>
  </si>
  <si>
    <t>Home Post</t>
  </si>
  <si>
    <t>MEDEVAC Location</t>
  </si>
  <si>
    <t>Route (CONUS/OCONUS)</t>
  </si>
  <si>
    <t>Number of Amendments</t>
  </si>
  <si>
    <t>Total Extension Duration</t>
  </si>
  <si>
    <t>Duration of Extensions</t>
  </si>
  <si>
    <t>Initial Start Date</t>
  </si>
  <si>
    <t>Initial End Date</t>
  </si>
  <si>
    <t xml:space="preserve">Number of Days </t>
  </si>
  <si>
    <t>Initial MEDEVAC Location</t>
  </si>
  <si>
    <t>Funding Cable In Date</t>
  </si>
  <si>
    <t>Funding Cable Sent Date</t>
  </si>
  <si>
    <t>BD Employee</t>
  </si>
  <si>
    <t>Employee Response Time</t>
  </si>
  <si>
    <t>1st Per Diem Rate</t>
  </si>
  <si>
    <t># of Days at</t>
  </si>
  <si>
    <t>2nd Per Diem Rate</t>
  </si>
  <si>
    <t># of Days at2</t>
  </si>
  <si>
    <t>3rd Per Diem Rate</t>
  </si>
  <si>
    <t># of Days at3</t>
  </si>
  <si>
    <t>4th Per Diem Rate</t>
  </si>
  <si>
    <t># of Days at4</t>
  </si>
  <si>
    <t>Airfare</t>
  </si>
  <si>
    <t>Total Per Diem - Patient</t>
  </si>
  <si>
    <t>Total Per Diem - Additional Travelers</t>
  </si>
  <si>
    <t>Misc. Expenses</t>
  </si>
  <si>
    <t>Total Per Diem</t>
  </si>
  <si>
    <t>Initial Funding Total</t>
  </si>
  <si>
    <t>A1 - Amended Start Date</t>
  </si>
  <si>
    <t>A1 - Amended End Date</t>
  </si>
  <si>
    <t>A1 - Amendment Funding Cable In Date</t>
  </si>
  <si>
    <t>A1 - Amendment Funding Cable Out Date</t>
  </si>
  <si>
    <t>A1 - BD Employee</t>
  </si>
  <si>
    <t>A1 - Employee Response Time</t>
  </si>
  <si>
    <t>A1 - Amended MEDEVAC Location</t>
  </si>
  <si>
    <t>A1 - 1st Per Diem Rate (Lodging + M&amp;IE)</t>
  </si>
  <si>
    <t>A1 - # of Days At 1st Per Diem Rate</t>
  </si>
  <si>
    <t>A1 - 2nd Per Diem Rate (Lodging + M&amp;IE)</t>
  </si>
  <si>
    <t>A1 - # of Days At 2nd Per Diem Rate</t>
  </si>
  <si>
    <t>A1 - 3rd Per Diem Rate (Lodging + M&amp;IE)</t>
  </si>
  <si>
    <t>A1 - # of Days At 3rd Per Diem Rate</t>
  </si>
  <si>
    <t>A1 - 4th Per Diem Rate (Lodging + M&amp;IE)</t>
  </si>
  <si>
    <t>A1 - # of Days At 4th Per Diem Rate</t>
  </si>
  <si>
    <t>A1 - Airfare</t>
  </si>
  <si>
    <t>A1 - Total Per Diem Additional Travelers</t>
  </si>
  <si>
    <t>A1 - Misc. Expenses</t>
  </si>
  <si>
    <t>A1 - Airfare Amount for Obligation</t>
  </si>
  <si>
    <t>A1 - Per Diem Amount for Obligation</t>
  </si>
  <si>
    <t>A1 - New Obligation Total</t>
  </si>
  <si>
    <t>E1 - Extension End Date</t>
  </si>
  <si>
    <t>E1 - Extension Funding Cable In Date</t>
  </si>
  <si>
    <t>E1 - Extension Funding Cable Out Date</t>
  </si>
  <si>
    <t>E1 - BD Employee</t>
  </si>
  <si>
    <t>E1 - Employee Response Time</t>
  </si>
  <si>
    <t>E1 - MEDEVAC Location</t>
  </si>
  <si>
    <t>E1 - 1st Per Diem Rate (Lodging + M&amp;IE)</t>
  </si>
  <si>
    <t>E1 - # of Days At 1st Per Diem Rate</t>
  </si>
  <si>
    <t>E1 - 2nd Per Diem Rate (Lodging + M&amp;IE)</t>
  </si>
  <si>
    <t>E1 - # of Days At 2nd Per Diem Rate</t>
  </si>
  <si>
    <t>E1 - 3rd Per Diem Rate (Lodging + M&amp;IE)</t>
  </si>
  <si>
    <t>E1 - # of Days At 3rd Per Diem Rate</t>
  </si>
  <si>
    <t>4th Per Diem Rate (Lodging + M&amp;IE)</t>
  </si>
  <si>
    <t>E1 - # of Days At 4th Per Diem Rate</t>
  </si>
  <si>
    <t>E1 - Airfare</t>
  </si>
  <si>
    <t>E1 - Total Per Diem Additional Travelers</t>
  </si>
  <si>
    <t>E1 - Additional Per Diem Amount</t>
  </si>
  <si>
    <t>E1 - Extension Funding Total</t>
  </si>
  <si>
    <t>E2 - Extension End Date</t>
  </si>
  <si>
    <t>E2 - Extension Funding Cable In Date</t>
  </si>
  <si>
    <t>E2 - Extension Funding Cable Out Date</t>
  </si>
  <si>
    <t>E2 - BD Employee</t>
  </si>
  <si>
    <t>E2 - Employee Response Time</t>
  </si>
  <si>
    <t>E2 MEDEVAC Location</t>
  </si>
  <si>
    <t>E2 - 1st Per Diem Rate (Lodging + M&amp;IE)</t>
  </si>
  <si>
    <t>E2 - # of Days At 1st Per Diem Rate</t>
  </si>
  <si>
    <t>E2 - 2nd Per Diem Rate (Lodging + M&amp;IE)</t>
  </si>
  <si>
    <t>E2 - # of Days At E2 - 2nd Per Diem Rate</t>
  </si>
  <si>
    <t>3rd Per Diem Rate (Lodging + M&amp;IE)</t>
  </si>
  <si>
    <t>E2 - # of Days At 3rd Per Diem Rate</t>
  </si>
  <si>
    <t>E2 - 4th Per Diem Rate (Lodging + M&amp;IE)</t>
  </si>
  <si>
    <t>E2 - # of Days At 4th Per Diem Rate</t>
  </si>
  <si>
    <t>E2 - Airfare</t>
  </si>
  <si>
    <t>E2 - Total Per Diem Additional Travelers</t>
  </si>
  <si>
    <t>E2 - Additional Per Diem Amount</t>
  </si>
  <si>
    <t>E2 - Extension Funding Total</t>
  </si>
  <si>
    <t>E3 - Extension End Date</t>
  </si>
  <si>
    <t>E3 - Extension Funding Cable In Date</t>
  </si>
  <si>
    <t>E3 - Extension Funding Cable Out Date</t>
  </si>
  <si>
    <t>E3 - BD Employee</t>
  </si>
  <si>
    <t>E3 - Employee Response Time</t>
  </si>
  <si>
    <t>E3 - MEDEVAC Location</t>
  </si>
  <si>
    <t>E3 - 1st Per Diem Rate (Lodging + M&amp;IE)</t>
  </si>
  <si>
    <t>E3 - # of Days At 1st Per Diem Rate</t>
  </si>
  <si>
    <t>E3 - 2nd Per Diem Rate (Lodging + M&amp;IE)</t>
  </si>
  <si>
    <t>E3 - # of Days At E3 - 2nd Per Diem Rate</t>
  </si>
  <si>
    <t>E3 - 3rd Per Diem Rate (Lodging + M&amp;IE)</t>
  </si>
  <si>
    <t>E3 - # of Days At 3rd Per Diem Rate</t>
  </si>
  <si>
    <t>E3 - 4th Per Diem Rate (Lodging + M&amp;IE)</t>
  </si>
  <si>
    <t>E3 - # of Days At 4th Per Diem Rate</t>
  </si>
  <si>
    <t>E3 - Airfare</t>
  </si>
  <si>
    <t>E3 - Total Per Diem E3 - Additional Travelers</t>
  </si>
  <si>
    <t>E3 - Additional Per Diem Amount</t>
  </si>
  <si>
    <t>E3 - Extension Funding Total</t>
  </si>
  <si>
    <t>E4 - Extension End Date</t>
  </si>
  <si>
    <t>E4 - Extension Funding Cable In Date</t>
  </si>
  <si>
    <t>E4 - Extension Funding Cable Out Date</t>
  </si>
  <si>
    <t>E4 - BD Employee</t>
  </si>
  <si>
    <t>E4 - Employee Response Time</t>
  </si>
  <si>
    <t>E4 - MEDEVAC Location</t>
  </si>
  <si>
    <t>1st Per Diem Rate (Lodging + M&amp;IE)</t>
  </si>
  <si>
    <t>E4 - # of Days At 1st Per Diem Rate</t>
  </si>
  <si>
    <t>E4 - 2nd Per Diem Rate (Lodging + M&amp;IE)</t>
  </si>
  <si>
    <t>E4 - # of Days At E4 - 2nd Per Diem Rate</t>
  </si>
  <si>
    <t>E4 - 3rd Per Diem Rate (Lodging + M&amp;IE)</t>
  </si>
  <si>
    <t>E4 - # of Days At 3rd Per Diem Rate</t>
  </si>
  <si>
    <t>E4 - 4th Per Diem Rate (Lodging + M&amp;IE)</t>
  </si>
  <si>
    <t>E4 - # of Days At 4th Per Diem Rate</t>
  </si>
  <si>
    <t>E4 - Airfare</t>
  </si>
  <si>
    <t>E4 - Total Per Diem Additional Travelers</t>
  </si>
  <si>
    <t>E4 - Additional Per Diem Amount</t>
  </si>
  <si>
    <t>E4 - Extension Funding Total</t>
  </si>
  <si>
    <t>E5 - Extension End Date</t>
  </si>
  <si>
    <t>E5 - Extension Funding Cable In Date</t>
  </si>
  <si>
    <t>E5 - Extension Funding Cable Out Date</t>
  </si>
  <si>
    <t>E5 - BD Employee</t>
  </si>
  <si>
    <t>E5 - Employee Response Time</t>
  </si>
  <si>
    <t>E5 - MEDEVAC Location</t>
  </si>
  <si>
    <t>E5 - 1st Per Diem Rate (Lodging + M&amp;IE)</t>
  </si>
  <si>
    <t>E5 - # of Days At 1st Per Diem Rate</t>
  </si>
  <si>
    <t>E5 - 2nd Per Diem Rate (Lodging + M&amp;IE)</t>
  </si>
  <si>
    <t>E5 - # of Days At E5 - 2nd Per Diem Rate</t>
  </si>
  <si>
    <t>E5 - 3rd Per Diem Rate (Lodging + M&amp;IE)</t>
  </si>
  <si>
    <t>E5 - # of Days At 3rd Per Diem Rate</t>
  </si>
  <si>
    <t>E5 -4th Per Diem Rate (Lodging + M&amp;IE)</t>
  </si>
  <si>
    <t>E5 - # of Days At 4th Per Diem Rate</t>
  </si>
  <si>
    <t>E5 - Airfare</t>
  </si>
  <si>
    <t>E5 - Total Per Diem Additional Travelers</t>
  </si>
  <si>
    <t>E5 - Additional Per Diem Amount</t>
  </si>
  <si>
    <t>E5 - Extension Funding Total</t>
  </si>
  <si>
    <t>E6 - Extension End Date</t>
  </si>
  <si>
    <t>E6 - Extension Funding Cable In Date</t>
  </si>
  <si>
    <t>E6 - Extension Funding Cable Out Date</t>
  </si>
  <si>
    <t>E6 - BD Employee</t>
  </si>
  <si>
    <t>E6 - Employee Response Time</t>
  </si>
  <si>
    <t>E6 - MEDEVAC Location</t>
  </si>
  <si>
    <t>E6 - 1st Per Diem Rate (Lodging + M&amp;IE)</t>
  </si>
  <si>
    <t>E6 - # of Days At 1st Per Diem Rate</t>
  </si>
  <si>
    <t>E6 - 2nd Per Diem Rate (Lodging + M&amp;IE)</t>
  </si>
  <si>
    <t>E6 - # of Days At E6 - 2nd Per Diem Rate</t>
  </si>
  <si>
    <t>E6 - 3rd Per Diem Rate (Lodging + M&amp;IE)</t>
  </si>
  <si>
    <t>E6 - # of Days At 3rd Per Diem Rate</t>
  </si>
  <si>
    <t>E6 -4th Per Diem Rate (Lodging + M&amp;IE)</t>
  </si>
  <si>
    <t>E6 - # of Days At 4th Per Diem Rate</t>
  </si>
  <si>
    <t>E6 - Airfare</t>
  </si>
  <si>
    <t>E6 - Total Per Diem Additional Travelers</t>
  </si>
  <si>
    <t>E6 - Additional Per Diem Amount</t>
  </si>
  <si>
    <t>E6 - Extension Funding Total</t>
  </si>
  <si>
    <t>E7 - Extension End Date</t>
  </si>
  <si>
    <t>E7 - Extension Funding Cable In Date</t>
  </si>
  <si>
    <t>E7 - Extension Funding Cable Out Date</t>
  </si>
  <si>
    <t>E7 - BD Employee</t>
  </si>
  <si>
    <t>E7 - Employee Response Time</t>
  </si>
  <si>
    <t>E7 - MEDEVAC Location</t>
  </si>
  <si>
    <t>E7 - 1st Per Diem Rate (Lodging + M&amp;IE)</t>
  </si>
  <si>
    <t>E7 - # of Days At 1st Per Diem Rate</t>
  </si>
  <si>
    <t>E7 - 2nd Per Diem Rate (Lodging + M&amp;IE)</t>
  </si>
  <si>
    <t>E7 - # of Days At E7 - 2nd Per Diem Rate</t>
  </si>
  <si>
    <t>E7 - 3rd Per Diem Rate (Lodging + M&amp;IE)</t>
  </si>
  <si>
    <t>E7 - # of Days At 3rd Per Diem Rate</t>
  </si>
  <si>
    <t>E7 -4th Per Diem Rate (Lodging + M&amp;IE)</t>
  </si>
  <si>
    <t>E7 - # of Days At 4th Per Diem Rate</t>
  </si>
  <si>
    <t>E7 - Airfare</t>
  </si>
  <si>
    <t>E7 - Total Per Diem Additional Travelers</t>
  </si>
  <si>
    <t>E7 - Additional Per Diem Amount</t>
  </si>
  <si>
    <t>E7 - Extension Funding Total</t>
  </si>
  <si>
    <t>E8 - Extension End Date</t>
  </si>
  <si>
    <t>E8 - Extension Funding Cable In Date</t>
  </si>
  <si>
    <t>E8 - Extension Funding Cable Out Date</t>
  </si>
  <si>
    <t>E8 - BD Employee</t>
  </si>
  <si>
    <t>E8 - Employee Response Time</t>
  </si>
  <si>
    <t>E8 - MEDEVAC Location</t>
  </si>
  <si>
    <t>E8 - 1st Per Diem Rate (Lodging + M&amp;IE)</t>
  </si>
  <si>
    <t>E8 - # of Days At 1st Per Diem Rate</t>
  </si>
  <si>
    <t>E8 - 2nd Per Diem Rate (Lodging + M&amp;IE)</t>
  </si>
  <si>
    <t>E8 - # of Days At E8 - 2nd Per Diem Rate</t>
  </si>
  <si>
    <t>E8 - 3rd Per Diem Rate (Lodging + M&amp;IE)</t>
  </si>
  <si>
    <t>E8 - # of Days At 3rd Per Diem Rate</t>
  </si>
  <si>
    <t>E8 -4th Per Diem Rate (Lodging + M&amp;IE)</t>
  </si>
  <si>
    <t>E8 - # of Days At 4th Per Diem Rate</t>
  </si>
  <si>
    <t>E8 - Airfare</t>
  </si>
  <si>
    <t>E8 - Total Per Diem Additional Travelers</t>
  </si>
  <si>
    <t>E8 - Additional Per Diem Amount</t>
  </si>
  <si>
    <t>E8 - Extension Funding Total</t>
  </si>
  <si>
    <t>E9 - Extension End Date</t>
  </si>
  <si>
    <t>E9 - Extension Funding Cable In Date</t>
  </si>
  <si>
    <t>E9 - Extension Funding Cable Out Date</t>
  </si>
  <si>
    <t>E9 - BD Employee</t>
  </si>
  <si>
    <t>E9 - Employee Response Time</t>
  </si>
  <si>
    <t>E9 - MEDEVAC Location</t>
  </si>
  <si>
    <t>E9 - 1st Per Diem Rate (Lodging + M&amp;IE)</t>
  </si>
  <si>
    <t>E9 - # of Days At 1st Per Diem Rate</t>
  </si>
  <si>
    <t>E9 - 2nd Per Diem Rate (Lodging + M&amp;IE)</t>
  </si>
  <si>
    <t>E9 - # of Days At E9 - 2nd Per Diem Rate</t>
  </si>
  <si>
    <t>E9 - 3rd Per Diem Rate (Lodging + M&amp;IE)</t>
  </si>
  <si>
    <t>E9 - # of Days At 3rd Per Diem Rate</t>
  </si>
  <si>
    <t>E9 -4th Per Diem Rate (Lodging + M&amp;IE)</t>
  </si>
  <si>
    <t>E9 - # of Days At 4th Per Diem Rate</t>
  </si>
  <si>
    <t>E9 - Airfare</t>
  </si>
  <si>
    <t>E9 - Total Per Diem Additional Travelers</t>
  </si>
  <si>
    <t>E9 - Additional Per Diem Amount</t>
  </si>
  <si>
    <t>E9 - Extension Funding Total</t>
  </si>
  <si>
    <t>E10 - Extension End Date</t>
  </si>
  <si>
    <t>E10 - Extension Funding Cable In Date</t>
  </si>
  <si>
    <t>E10 - Extension Funding Cable Out Date</t>
  </si>
  <si>
    <t>E10 - BD Employee</t>
  </si>
  <si>
    <t>E10 - Employee Response Time</t>
  </si>
  <si>
    <t>E10 - MEDEVAC Location</t>
  </si>
  <si>
    <t>E10 - 1st Per Diem Rate (Lodging + M&amp;IE)</t>
  </si>
  <si>
    <t>E10 - # of Days At 1st Per Diem Rate</t>
  </si>
  <si>
    <t>E10 - 2nd Per Diem Rate (Lodging + M&amp;IE)</t>
  </si>
  <si>
    <t>E10 - # of Days At E10 - 2nd Per Diem Rate</t>
  </si>
  <si>
    <t>E10 - 3rd Per Diem Rate (Lodging + M&amp;IE)</t>
  </si>
  <si>
    <t>E10 - # of Days At 3rd Per Diem Rate</t>
  </si>
  <si>
    <t>E10 -4th Per Diem Rate (Lodging + M&amp;IE)</t>
  </si>
  <si>
    <t>E10 - # of Days At 4th Per Diem Rate</t>
  </si>
  <si>
    <t>E10 - Airfare</t>
  </si>
  <si>
    <t>E10 - Total Per Diem Additional Travelers</t>
  </si>
  <si>
    <t>E10 - Additional Per Diem Amount</t>
  </si>
  <si>
    <t>E10 - Extension Funding Total</t>
  </si>
  <si>
    <t>Completion Status</t>
  </si>
  <si>
    <t>Date of Final Accounting</t>
  </si>
  <si>
    <t>Actual Start Date</t>
  </si>
  <si>
    <t>Actual End Date</t>
  </si>
  <si>
    <t>Airfare Approved</t>
  </si>
  <si>
    <t>Per Diem Approved</t>
  </si>
  <si>
    <t>Closed Amount</t>
  </si>
  <si>
    <t>Amount for Deobligation</t>
  </si>
  <si>
    <t>Comments</t>
  </si>
  <si>
    <t>Date to send Request for Final Accounting (FA)</t>
  </si>
  <si>
    <t>DOS</t>
  </si>
  <si>
    <t>MEDICAL</t>
  </si>
  <si>
    <t>EMP</t>
  </si>
  <si>
    <t>WARSAW</t>
  </si>
  <si>
    <t>OCONUS</t>
  </si>
  <si>
    <t>LONDON</t>
  </si>
  <si>
    <t>FS</t>
  </si>
  <si>
    <t>N/A</t>
  </si>
  <si>
    <t xml:space="preserve">Final Acct </t>
  </si>
  <si>
    <t>MSG</t>
  </si>
  <si>
    <t>MHS-MSG</t>
  </si>
  <si>
    <t>TALLINN</t>
  </si>
  <si>
    <t>CONUS</t>
  </si>
  <si>
    <t>WASHINGTON, DC</t>
  </si>
  <si>
    <t>Terminated</t>
  </si>
  <si>
    <t>Termination 22 STATE 126468. NMA airfare +3 days authorized.</t>
  </si>
  <si>
    <t>Additional Traveler Name</t>
  </si>
  <si>
    <t>Additional Traveler Type</t>
  </si>
  <si>
    <t>Employee Name or Status</t>
  </si>
  <si>
    <t>Percent Authorized Per Diem</t>
  </si>
  <si>
    <t>A1 Percent Authorized Per Diem</t>
  </si>
  <si>
    <t>A1 - # of Days AT 1st Per Diem Rate</t>
  </si>
  <si>
    <t>A1 - # of Days AT 2nd Per Diem Rate</t>
  </si>
  <si>
    <t>A1 - # of Days AT 3rd Per Diem Rate</t>
  </si>
  <si>
    <t>A1 - 4thPer Diem Rate (Lodging + M&amp;IE)</t>
  </si>
  <si>
    <t>A1 - # of Days AT 4thPer Diem Rate</t>
  </si>
  <si>
    <t>A1 - PER DIEM AMOUNT FOR OBLIGATION</t>
  </si>
  <si>
    <t>E1 - Percent Authorized Per Diem</t>
  </si>
  <si>
    <t>E1 - # of Days AT 1st Per Diem Rate</t>
  </si>
  <si>
    <t>E1 - # of Days AT 2nd Per Diem Rate</t>
  </si>
  <si>
    <t>E1 - # of Days AT 3rd Per Diem Rate</t>
  </si>
  <si>
    <t>E1 - 4thPer Diem Rate (Lodging + M&amp;IE)</t>
  </si>
  <si>
    <t>E1 - # of Days AT 4thPer Diem Rate</t>
  </si>
  <si>
    <t>E2 - Percent Authorized Per Diem</t>
  </si>
  <si>
    <t>E2 - 1st Per Diem Rate (Lodging + M&amp;IE)2</t>
  </si>
  <si>
    <t>E2 - # of Days AT 1st Per Diem Rate</t>
  </si>
  <si>
    <t>E2 - # of Days AT 2nd Per Diem Rate</t>
  </si>
  <si>
    <t>E2 - 3rd Per Diem Rate (Lodging + M&amp;IE)</t>
  </si>
  <si>
    <t>E2 - # of Days AT 3rd Per Diem Rate</t>
  </si>
  <si>
    <t>E2 - 4thPer Diem Rate (Lodging + M&amp;IE)</t>
  </si>
  <si>
    <t>E2 - # of Days AT 4thPer Diem Rate</t>
  </si>
  <si>
    <t>E3 - Percent Authorized Per Diem</t>
  </si>
  <si>
    <t>E3 - # of Days AT 1st Per Diem Rate</t>
  </si>
  <si>
    <t>E3 - # of Days AT 2nd Per Diem Rate</t>
  </si>
  <si>
    <t>E3 - # of Days AT 3rd Per Diem Rate</t>
  </si>
  <si>
    <t>E3 - 4thPer Diem Rate (Lodging + M&amp;IE)</t>
  </si>
  <si>
    <t>E3 - # of Days AT 4thPer Diem Rate</t>
  </si>
  <si>
    <t>E4 - Percent Authorized Per Diem</t>
  </si>
  <si>
    <t>E4 - 1st Per Diem Rate (Lodging + M&amp;IE)</t>
  </si>
  <si>
    <t>E4 - # of Days AT 1st Per Diem Rate</t>
  </si>
  <si>
    <t>E4 - # of Days AT 2nd Per Diem Rate</t>
  </si>
  <si>
    <t>E4 - # of Days AT 3rd Per Diem Rate</t>
  </si>
  <si>
    <t>E4 - 4thPer Diem Rate (Lodging + M&amp;IE)</t>
  </si>
  <si>
    <t>E4 - # of Days AT 4thPer Diem Rate</t>
  </si>
  <si>
    <t>E5 - Percent Authorized Per Diem</t>
  </si>
  <si>
    <t>E5 - # of Days AT 1st Per Diem Rate</t>
  </si>
  <si>
    <t>E5 - # of Days AT 2nd Per Diem Rate</t>
  </si>
  <si>
    <t>E5 - # of Days AT 3rd Per Diem Rate</t>
  </si>
  <si>
    <t>E5 - 4thPer Diem Rate (Lodging + M&amp;IE)</t>
  </si>
  <si>
    <t>E5 - # of Days AT 4th Per Diem Rate</t>
  </si>
  <si>
    <t>E6 - Percent Authorized Per Diem</t>
  </si>
  <si>
    <t>E6 - # of Days AT 1st Per Diem Rate</t>
  </si>
  <si>
    <t>E6 - # of Days AT 2nd Per Diem Rate</t>
  </si>
  <si>
    <t>E6 - # of Days AT 3rd Per Diem Rate</t>
  </si>
  <si>
    <t>E6 - 4thPer Diem Rate (Lodging + M&amp;IE)</t>
  </si>
  <si>
    <t>E6 - # of Days AT 4th Per Diem Rate</t>
  </si>
  <si>
    <t>E7 - Percent Authorized Per Diem</t>
  </si>
  <si>
    <t>E7 - # of Days AT 1st Per Diem Rate</t>
  </si>
  <si>
    <t>E7 - # of Days AT 2nd Per Diem Rate</t>
  </si>
  <si>
    <t>E7 - # of Days AT 3rd Per Diem Rate</t>
  </si>
  <si>
    <t>E7 - 4thPer Diem Rate (Lodging + M&amp;IE)</t>
  </si>
  <si>
    <t>E7 - # of Days AT 4th Per Diem Rate</t>
  </si>
  <si>
    <t>E8 - Percent Authorized Per Diem</t>
  </si>
  <si>
    <t>E8 - # of Days AT 1st Per Diem Rate</t>
  </si>
  <si>
    <t>E8 - # of Days AT 2nd Per Diem Rate</t>
  </si>
  <si>
    <t>E8 - # of Days AT 3rd Per Diem Rate</t>
  </si>
  <si>
    <t>E8 - 4thPer Diem Rate (Lodging + M&amp;IE)</t>
  </si>
  <si>
    <t>E8 - # of Days AT 4th Per Diem Rate</t>
  </si>
  <si>
    <t>E9 - Percent Authorized Per Diem</t>
  </si>
  <si>
    <t>E9 - # of Days AT 1st Per Diem Rate</t>
  </si>
  <si>
    <t>E9 - # of Days AT 2nd Per Diem Rate</t>
  </si>
  <si>
    <t>E9 - # of Days AT 3rd Per Diem Rate</t>
  </si>
  <si>
    <t>E9 - 4thPer Diem Rate (Lodging + M&amp;IE)</t>
  </si>
  <si>
    <t>E9 - # of Days AT 4th Per Diem Rate</t>
  </si>
  <si>
    <t>E10 - Percent Authorized Per Diem</t>
  </si>
  <si>
    <t>E10 - # of Days AT 1st Per Diem Rate</t>
  </si>
  <si>
    <t>E10 - # of Days AT 2nd Per Diem Rate</t>
  </si>
  <si>
    <t>E10 - # of Days AT 3rd Per Diem Rate</t>
  </si>
  <si>
    <t>E10 - 4thPer Diem Rate (Lodging + M&amp;IE)</t>
  </si>
  <si>
    <t>E10 - # of Days AT 4th Per Diem Rate</t>
  </si>
  <si>
    <t>Non-Medical Attendant</t>
  </si>
  <si>
    <t>CITY/POST</t>
  </si>
  <si>
    <t xml:space="preserve">COUNTRY </t>
  </si>
  <si>
    <t>BUREAU</t>
  </si>
  <si>
    <t>BUD EMPL</t>
  </si>
  <si>
    <t>LUANDA</t>
  </si>
  <si>
    <t>ANGOLA</t>
  </si>
  <si>
    <t>AF</t>
  </si>
  <si>
    <t xml:space="preserve">Regional List </t>
  </si>
  <si>
    <t>CONUS/OCONUS</t>
  </si>
  <si>
    <t>Vendor</t>
  </si>
  <si>
    <t>Agency</t>
  </si>
  <si>
    <t>MED-MSG</t>
  </si>
  <si>
    <t>COTONOU</t>
  </si>
  <si>
    <t>BENIN</t>
  </si>
  <si>
    <t xml:space="preserve">SCA </t>
  </si>
  <si>
    <t>PAG</t>
  </si>
  <si>
    <t>CDC</t>
  </si>
  <si>
    <t>DENTEVAC</t>
  </si>
  <si>
    <t>LS</t>
  </si>
  <si>
    <t>PORTO NOVO</t>
  </si>
  <si>
    <t>NEA</t>
  </si>
  <si>
    <t>REVA</t>
  </si>
  <si>
    <t>DEA</t>
  </si>
  <si>
    <t>MED In Conj</t>
  </si>
  <si>
    <t>GABORONE</t>
  </si>
  <si>
    <t>BOTSWANA</t>
  </si>
  <si>
    <t>Closed</t>
  </si>
  <si>
    <t>Netcare 911</t>
  </si>
  <si>
    <t>DHS - CBP</t>
  </si>
  <si>
    <t>OUAGADOUGOU</t>
  </si>
  <si>
    <t>BURKINA FASO</t>
  </si>
  <si>
    <t>EUR</t>
  </si>
  <si>
    <t>Recalled</t>
  </si>
  <si>
    <t>ISOS</t>
  </si>
  <si>
    <t>DHS - ICE</t>
  </si>
  <si>
    <t>OB</t>
  </si>
  <si>
    <t>Cable Type</t>
  </si>
  <si>
    <t>GITEGA</t>
  </si>
  <si>
    <t>BURUNDI</t>
  </si>
  <si>
    <t>EAP</t>
  </si>
  <si>
    <t>Parkway</t>
  </si>
  <si>
    <t>Marshals</t>
  </si>
  <si>
    <t>AMEND</t>
  </si>
  <si>
    <t>BUJUMBURA</t>
  </si>
  <si>
    <t>WHA</t>
  </si>
  <si>
    <t>RTP</t>
  </si>
  <si>
    <t>AA Types</t>
  </si>
  <si>
    <t>Local</t>
  </si>
  <si>
    <t>MHS</t>
  </si>
  <si>
    <t>AUTH</t>
  </si>
  <si>
    <t>PRAIA</t>
  </si>
  <si>
    <t>CABO VERDE</t>
  </si>
  <si>
    <t>Medical</t>
  </si>
  <si>
    <t>SOS</t>
  </si>
  <si>
    <t>Peace Corps</t>
  </si>
  <si>
    <t>MED-AIR AMB</t>
  </si>
  <si>
    <t>TERM</t>
  </si>
  <si>
    <t>YAOUNDE</t>
  </si>
  <si>
    <t>CAMEROON</t>
  </si>
  <si>
    <t xml:space="preserve">Other </t>
  </si>
  <si>
    <t>Mental Health</t>
  </si>
  <si>
    <t>State</t>
  </si>
  <si>
    <t>UHIEVAC</t>
  </si>
  <si>
    <t>FINAL ACCT</t>
  </si>
  <si>
    <t>BANGUI</t>
  </si>
  <si>
    <t>CENTRAL AFRICAN REPUBLIC</t>
  </si>
  <si>
    <t>Treasury</t>
  </si>
  <si>
    <t>REQ</t>
  </si>
  <si>
    <t>MORONI</t>
  </si>
  <si>
    <t>COMOROS</t>
  </si>
  <si>
    <t>Employee Type</t>
  </si>
  <si>
    <t>USAID</t>
  </si>
  <si>
    <t>CANCELLATION</t>
  </si>
  <si>
    <t>N'DJAMENA</t>
  </si>
  <si>
    <t>CHAD</t>
  </si>
  <si>
    <t>USDA</t>
  </si>
  <si>
    <t>YAMOUSSOUKRO</t>
  </si>
  <si>
    <t>CÔTE D’IVOIRE</t>
  </si>
  <si>
    <t>EFM</t>
  </si>
  <si>
    <t>ABIDJAN</t>
  </si>
  <si>
    <t>DEP</t>
  </si>
  <si>
    <t>KINSHASA</t>
  </si>
  <si>
    <t>DEMOCRATIC REPUBLIC OF THE CONGO</t>
  </si>
  <si>
    <t>SEABEE</t>
  </si>
  <si>
    <t>DJIBOUTI</t>
  </si>
  <si>
    <t>MALABO</t>
  </si>
  <si>
    <t>EQUATORIAL GUINEA</t>
  </si>
  <si>
    <t>ASMARA</t>
  </si>
  <si>
    <t>ERITREA</t>
  </si>
  <si>
    <t>Additional Types</t>
  </si>
  <si>
    <t>MBABANE</t>
  </si>
  <si>
    <t>ESWATINI (SWAZILAND)</t>
  </si>
  <si>
    <t>Dependent</t>
  </si>
  <si>
    <t>ADDIS ABABA</t>
  </si>
  <si>
    <t>ETHIOPIA</t>
  </si>
  <si>
    <t>Spouse</t>
  </si>
  <si>
    <t>LIBREVILLE</t>
  </si>
  <si>
    <t>GABON</t>
  </si>
  <si>
    <t>Medical Attendant</t>
  </si>
  <si>
    <t>BANJUL</t>
  </si>
  <si>
    <t>GAMBIA</t>
  </si>
  <si>
    <t>ACCRA</t>
  </si>
  <si>
    <t>GHANA</t>
  </si>
  <si>
    <t>CONAKRY</t>
  </si>
  <si>
    <t>GUINEA</t>
  </si>
  <si>
    <t>BISSAU</t>
  </si>
  <si>
    <t>GUINEA-BISSAU</t>
  </si>
  <si>
    <t>KISUMU</t>
  </si>
  <si>
    <t>KENYA</t>
  </si>
  <si>
    <t>NAIROBI</t>
  </si>
  <si>
    <t>MASERU</t>
  </si>
  <si>
    <t>LESOTHO</t>
  </si>
  <si>
    <t>ANTANANARIVO</t>
  </si>
  <si>
    <t>MADAGASCAR</t>
  </si>
  <si>
    <t>LILONGWE</t>
  </si>
  <si>
    <t>MALAWI</t>
  </si>
  <si>
    <t>BAMAKO</t>
  </si>
  <si>
    <t>MALI</t>
  </si>
  <si>
    <t>NOUAKCHOTT</t>
  </si>
  <si>
    <t>MAURITANIA</t>
  </si>
  <si>
    <t>PORT LOUIS</t>
  </si>
  <si>
    <t>MAURITIUS</t>
  </si>
  <si>
    <t>MAPUTO</t>
  </si>
  <si>
    <t>MOZAMBIQUE</t>
  </si>
  <si>
    <t>WINDHOEK</t>
  </si>
  <si>
    <t>NAMIBIA</t>
  </si>
  <si>
    <t>NIAMEY</t>
  </si>
  <si>
    <t>NIGER</t>
  </si>
  <si>
    <t>ABUJA</t>
  </si>
  <si>
    <t>NIGERIA</t>
  </si>
  <si>
    <t>LAGOS</t>
  </si>
  <si>
    <t>BRAZZAVILLE</t>
  </si>
  <si>
    <t>REPUBLIC OF THE CONGO</t>
  </si>
  <si>
    <t>KIGALI</t>
  </si>
  <si>
    <t>RWANDA</t>
  </si>
  <si>
    <t>SAO TOME</t>
  </si>
  <si>
    <t>SÃO TOMÉ AND PRÍNCIPE</t>
  </si>
  <si>
    <t>DAKAR</t>
  </si>
  <si>
    <t>SENEGAL</t>
  </si>
  <si>
    <t>VICTORIA</t>
  </si>
  <si>
    <t>SEYCHELLES</t>
  </si>
  <si>
    <t>FREETOWN</t>
  </si>
  <si>
    <t>SIERRA LEONE</t>
  </si>
  <si>
    <t>MOGADISHU</t>
  </si>
  <si>
    <t>SOMALIA</t>
  </si>
  <si>
    <t>PRETORIA</t>
  </si>
  <si>
    <t>SOUTH AFRICA</t>
  </si>
  <si>
    <t>BLOEMFONTEIN</t>
  </si>
  <si>
    <t>CAPE TOWN</t>
  </si>
  <si>
    <t>JOHANNESBURG</t>
  </si>
  <si>
    <t>DURBAN</t>
  </si>
  <si>
    <t>JUBA</t>
  </si>
  <si>
    <t>SOUTH SUDAN</t>
  </si>
  <si>
    <t>KHARTOUM</t>
  </si>
  <si>
    <t>SUDAN</t>
  </si>
  <si>
    <t>DAR ES SALAAM</t>
  </si>
  <si>
    <t>TANZANIA</t>
  </si>
  <si>
    <t>DODOMA</t>
  </si>
  <si>
    <t>LOME</t>
  </si>
  <si>
    <t>TOGO</t>
  </si>
  <si>
    <t>KAMPALA</t>
  </si>
  <si>
    <t>UGANDA</t>
  </si>
  <si>
    <t>LUSAKA</t>
  </si>
  <si>
    <t>ZAMBIA</t>
  </si>
  <si>
    <t>HARARE</t>
  </si>
  <si>
    <t>ZIMBABWE</t>
  </si>
  <si>
    <t>MONROVIA</t>
  </si>
  <si>
    <t>LIBERIA</t>
  </si>
  <si>
    <t>AUKLAND</t>
  </si>
  <si>
    <t>AUSTRALIA</t>
  </si>
  <si>
    <t>EAP &amp; ND</t>
  </si>
  <si>
    <t>CANBERRA</t>
  </si>
  <si>
    <t>MELBOURNE</t>
  </si>
  <si>
    <t>PERTH</t>
  </si>
  <si>
    <t>SYDNEY</t>
  </si>
  <si>
    <t>BANDAR SERI BEGAWAN</t>
  </si>
  <si>
    <t>BRUNEI</t>
  </si>
  <si>
    <t>PHNOM PENH</t>
  </si>
  <si>
    <t>CAMBODIA</t>
  </si>
  <si>
    <t>BEIJING</t>
  </si>
  <si>
    <t>CHINA</t>
  </si>
  <si>
    <t>CHENGDU</t>
  </si>
  <si>
    <t>GUANGZHOU</t>
  </si>
  <si>
    <t>SHANGHAI</t>
  </si>
  <si>
    <t>SHENYANG</t>
  </si>
  <si>
    <t>WUHAN</t>
  </si>
  <si>
    <t>EAST TIMOR</t>
  </si>
  <si>
    <t>DILI</t>
  </si>
  <si>
    <t>PALIKIR</t>
  </si>
  <si>
    <t>FEDERATED STATES OF MICRONESIA</t>
  </si>
  <si>
    <t>SUVA</t>
  </si>
  <si>
    <t>FIJI</t>
  </si>
  <si>
    <t>HONG KONG</t>
  </si>
  <si>
    <t>JAKARTA</t>
  </si>
  <si>
    <t>INDONESIA</t>
  </si>
  <si>
    <t>MEDAN</t>
  </si>
  <si>
    <t>SURABAYA</t>
  </si>
  <si>
    <t>FUKUOKA</t>
  </si>
  <si>
    <t>JAPAN</t>
  </si>
  <si>
    <t>NAGOYA</t>
  </si>
  <si>
    <t>NAHA</t>
  </si>
  <si>
    <t>OSAKA</t>
  </si>
  <si>
    <t>SAPPARO</t>
  </si>
  <si>
    <t>TOKYO</t>
  </si>
  <si>
    <t>TARAWA ATOLL</t>
  </si>
  <si>
    <t>KIRIBATI</t>
  </si>
  <si>
    <t>VIENTIANE</t>
  </si>
  <si>
    <t>LAOS</t>
  </si>
  <si>
    <t>KUALA LUMPUR</t>
  </si>
  <si>
    <t>MALAYSIA</t>
  </si>
  <si>
    <t>MAJURO</t>
  </si>
  <si>
    <t>MARSHALL ISLANDS</t>
  </si>
  <si>
    <t>COLONIA</t>
  </si>
  <si>
    <t>MICRONESIA</t>
  </si>
  <si>
    <t>ULAANBAATAR</t>
  </si>
  <si>
    <t>MONGOLIA</t>
  </si>
  <si>
    <t>NAY PYI TAW</t>
  </si>
  <si>
    <t>MYANMAR (BURMA)</t>
  </si>
  <si>
    <t>RANGOON</t>
  </si>
  <si>
    <t>NO OFFICIAL CAPITAL</t>
  </si>
  <si>
    <t>NAURU</t>
  </si>
  <si>
    <t>WELLINGTON</t>
  </si>
  <si>
    <t>NEW ZEALAND</t>
  </si>
  <si>
    <t>PYONGYANG</t>
  </si>
  <si>
    <t>NORTH KOREA</t>
  </si>
  <si>
    <t>KOROR</t>
  </si>
  <si>
    <t>PALAU</t>
  </si>
  <si>
    <t>PORT MORESBY</t>
  </si>
  <si>
    <t>PAPUA NEW GUINEA</t>
  </si>
  <si>
    <t>MANILA</t>
  </si>
  <si>
    <t>PHILIPPINES</t>
  </si>
  <si>
    <t>APIA</t>
  </si>
  <si>
    <t>SAMOA</t>
  </si>
  <si>
    <t>SINGAPORE</t>
  </si>
  <si>
    <t>HONIARA</t>
  </si>
  <si>
    <t>SOLOMON ISLANDS</t>
  </si>
  <si>
    <t>SEOUL</t>
  </si>
  <si>
    <t>SOUTH KOREA</t>
  </si>
  <si>
    <t>KAOHSIUNG</t>
  </si>
  <si>
    <t>TAIWAN</t>
  </si>
  <si>
    <t>TAIPEI</t>
  </si>
  <si>
    <t>BANGKOK</t>
  </si>
  <si>
    <t>THAILAND</t>
  </si>
  <si>
    <t>CHIANG MAI</t>
  </si>
  <si>
    <t>TIMOR-LESTE</t>
  </si>
  <si>
    <t>NUKU'ALOFA</t>
  </si>
  <si>
    <t>TONGA</t>
  </si>
  <si>
    <t>FUNAFUTI</t>
  </si>
  <si>
    <t>TUVALU</t>
  </si>
  <si>
    <t>PORT VILA</t>
  </si>
  <si>
    <t>VANUATU</t>
  </si>
  <si>
    <t>HANOI</t>
  </si>
  <si>
    <t>VIETNAM</t>
  </si>
  <si>
    <t>HO CHI MINH CITY</t>
  </si>
  <si>
    <t>VLADIVOSTOK</t>
  </si>
  <si>
    <t>RUSSIA</t>
  </si>
  <si>
    <t>KATHMANDOU</t>
  </si>
  <si>
    <t>NEPAL</t>
  </si>
  <si>
    <t>DHAKA</t>
  </si>
  <si>
    <t>BANGLADESH</t>
  </si>
  <si>
    <t>CHENNAI</t>
  </si>
  <si>
    <t>INDIA</t>
  </si>
  <si>
    <t>HYDERABAD</t>
  </si>
  <si>
    <t>KOLKATA</t>
  </si>
  <si>
    <t>MUMBAI</t>
  </si>
  <si>
    <t>NEW DELHI</t>
  </si>
  <si>
    <t>COLOMBO</t>
  </si>
  <si>
    <t>SRI LANKA</t>
  </si>
  <si>
    <t>TIRANA</t>
  </si>
  <si>
    <t>ALBANIA</t>
  </si>
  <si>
    <t>ANDORRA LA VELLA</t>
  </si>
  <si>
    <t>ANDORRA</t>
  </si>
  <si>
    <t>YEREVAN</t>
  </si>
  <si>
    <t>ARMENIA</t>
  </si>
  <si>
    <t>VIENNA</t>
  </si>
  <si>
    <t>AUSTRIA</t>
  </si>
  <si>
    <t>BAKU</t>
  </si>
  <si>
    <t>AZERBAIJAN</t>
  </si>
  <si>
    <t>MINSK</t>
  </si>
  <si>
    <t>BELARUS</t>
  </si>
  <si>
    <t>BRUSSELS &amp; ANTWERP</t>
  </si>
  <si>
    <t>BELGIUM</t>
  </si>
  <si>
    <t>BONJA LUCA</t>
  </si>
  <si>
    <t>BOSNIA AND HERZEGOVINA</t>
  </si>
  <si>
    <t>SARAJEVO</t>
  </si>
  <si>
    <t>SOFIA</t>
  </si>
  <si>
    <t>BULGARIA</t>
  </si>
  <si>
    <t>ZAGREB</t>
  </si>
  <si>
    <t>CROATIA</t>
  </si>
  <si>
    <t>PRAGUE</t>
  </si>
  <si>
    <t>CZECH REPUBLIC</t>
  </si>
  <si>
    <t>COPENHAGEN</t>
  </si>
  <si>
    <t>DENMARK</t>
  </si>
  <si>
    <t>ENGLAND</t>
  </si>
  <si>
    <t>ESTONIA</t>
  </si>
  <si>
    <t>HELSINKI</t>
  </si>
  <si>
    <t>FINLAND</t>
  </si>
  <si>
    <t>BORDEUAX</t>
  </si>
  <si>
    <t>FRANCE</t>
  </si>
  <si>
    <t>LYON</t>
  </si>
  <si>
    <t>MARSEILLES</t>
  </si>
  <si>
    <t>NICE</t>
  </si>
  <si>
    <t>RENNES</t>
  </si>
  <si>
    <t>PARIS</t>
  </si>
  <si>
    <t>STRASBOURG</t>
  </si>
  <si>
    <t>TOULOUSE</t>
  </si>
  <si>
    <t>TBILISI</t>
  </si>
  <si>
    <t>GEORGIA</t>
  </si>
  <si>
    <t>BERLIN</t>
  </si>
  <si>
    <t>GERMANY</t>
  </si>
  <si>
    <t>DUSSELDORF</t>
  </si>
  <si>
    <t>HAMBURG</t>
  </si>
  <si>
    <t>LEIPZIG</t>
  </si>
  <si>
    <t>MUNICH</t>
  </si>
  <si>
    <t>FRANKFURT</t>
  </si>
  <si>
    <t>ATHENS</t>
  </si>
  <si>
    <t>GREECE</t>
  </si>
  <si>
    <t>THESSALONIKI</t>
  </si>
  <si>
    <t>BUDAPEST</t>
  </si>
  <si>
    <t>HUNGARY</t>
  </si>
  <si>
    <t>REYKJAVIK</t>
  </si>
  <si>
    <t>ICELAND</t>
  </si>
  <si>
    <t>DUBLIN</t>
  </si>
  <si>
    <t>IRELAND</t>
  </si>
  <si>
    <t>ROME</t>
  </si>
  <si>
    <t>ITALY</t>
  </si>
  <si>
    <t>FLORENCE</t>
  </si>
  <si>
    <t>MILAN</t>
  </si>
  <si>
    <t>NAPLES</t>
  </si>
  <si>
    <t>NUR-SULTAN</t>
  </si>
  <si>
    <t>KAZAKHSTAN</t>
  </si>
  <si>
    <t>PRISTINA</t>
  </si>
  <si>
    <t>KOSOVO</t>
  </si>
  <si>
    <t>RIGA</t>
  </si>
  <si>
    <t>LATVIA</t>
  </si>
  <si>
    <t>VADUZ</t>
  </si>
  <si>
    <t>LIECHTENSTEIN</t>
  </si>
  <si>
    <t>VILNIUS</t>
  </si>
  <si>
    <t>LITHUANIA</t>
  </si>
  <si>
    <t>LUXEMBOURG</t>
  </si>
  <si>
    <t>CHISINAU</t>
  </si>
  <si>
    <t>MOLDOVA</t>
  </si>
  <si>
    <t>MONACO</t>
  </si>
  <si>
    <t>PODGORICA</t>
  </si>
  <si>
    <t>MONTENEGRO</t>
  </si>
  <si>
    <t>AMSTERDAM</t>
  </si>
  <si>
    <t>NETHERLANDS</t>
  </si>
  <si>
    <t>THE HAGUE</t>
  </si>
  <si>
    <t>SKOPJE</t>
  </si>
  <si>
    <t>NORTH MACEDONIA</t>
  </si>
  <si>
    <t>BELFAST</t>
  </si>
  <si>
    <t>NORTHERN IRELAND</t>
  </si>
  <si>
    <t>OSLO</t>
  </si>
  <si>
    <t>NORWAY</t>
  </si>
  <si>
    <t>KRAKOW</t>
  </si>
  <si>
    <t>POLAND</t>
  </si>
  <si>
    <t>LISBON</t>
  </si>
  <si>
    <t>PORTUGAL</t>
  </si>
  <si>
    <t>BUCHAREST</t>
  </si>
  <si>
    <t>ROMANIA</t>
  </si>
  <si>
    <t>MOSCOW</t>
  </si>
  <si>
    <t>YEKATERINBURG</t>
  </si>
  <si>
    <t>SAN MARINO</t>
  </si>
  <si>
    <t>EDINBURGH</t>
  </si>
  <si>
    <t xml:space="preserve">SCOTLAND </t>
  </si>
  <si>
    <t>BELGRADE</t>
  </si>
  <si>
    <t>SERBIA</t>
  </si>
  <si>
    <t>BRATISLAVA</t>
  </si>
  <si>
    <t>SLOVAKIA</t>
  </si>
  <si>
    <t>LJUBLJANA</t>
  </si>
  <si>
    <t>SLOVENIA</t>
  </si>
  <si>
    <t>BARCELONA</t>
  </si>
  <si>
    <t>SPAIN</t>
  </si>
  <si>
    <t>MADRID</t>
  </si>
  <si>
    <t>STOCKHOLM</t>
  </si>
  <si>
    <t>SWEDEN</t>
  </si>
  <si>
    <t>BERN</t>
  </si>
  <si>
    <t>SWITZERLAND</t>
  </si>
  <si>
    <t>GENEVA</t>
  </si>
  <si>
    <t>ANDARA</t>
  </si>
  <si>
    <t>TURKEY</t>
  </si>
  <si>
    <t>ANKARA</t>
  </si>
  <si>
    <t>ISTANBUL</t>
  </si>
  <si>
    <t>KYIV</t>
  </si>
  <si>
    <t>UKRAINE</t>
  </si>
  <si>
    <t>UNITED KINGDOM</t>
  </si>
  <si>
    <t>VATICAN CITY</t>
  </si>
  <si>
    <t>CARDIFF</t>
  </si>
  <si>
    <t>WALES</t>
  </si>
  <si>
    <t>PONTA DELGADA</t>
  </si>
  <si>
    <t>KABUL</t>
  </si>
  <si>
    <t>AFGHANISTAN</t>
  </si>
  <si>
    <t>NEA &amp; AIK</t>
  </si>
  <si>
    <t>HERAT</t>
  </si>
  <si>
    <t>ALGIERS</t>
  </si>
  <si>
    <t>ALGERIA</t>
  </si>
  <si>
    <t>THIMPHU</t>
  </si>
  <si>
    <t>BHUTAN</t>
  </si>
  <si>
    <t>MANAMA</t>
  </si>
  <si>
    <t>BAHRAIN</t>
  </si>
  <si>
    <t>NICOSIA</t>
  </si>
  <si>
    <t>CYPRUS</t>
  </si>
  <si>
    <t>ALEXANDRIA</t>
  </si>
  <si>
    <t>EGYPT</t>
  </si>
  <si>
    <t>CAIRO</t>
  </si>
  <si>
    <t>JERUSALEM</t>
  </si>
  <si>
    <t>ISRAEL</t>
  </si>
  <si>
    <t>TEL AVIV</t>
  </si>
  <si>
    <t>TEHRAN</t>
  </si>
  <si>
    <t>IRAN</t>
  </si>
  <si>
    <t>BAGHDAD</t>
  </si>
  <si>
    <t>IRAQ</t>
  </si>
  <si>
    <t>BASRAH</t>
  </si>
  <si>
    <t>ERBIL</t>
  </si>
  <si>
    <t>AMMAN</t>
  </si>
  <si>
    <t>JORDAN</t>
  </si>
  <si>
    <t>ALMATY</t>
  </si>
  <si>
    <t>BISHKEK</t>
  </si>
  <si>
    <t>KYRGYZSTAN</t>
  </si>
  <si>
    <t>KUWAIT CITY</t>
  </si>
  <si>
    <t>KUWAIT</t>
  </si>
  <si>
    <t>BEIRUT</t>
  </si>
  <si>
    <t>LEBANON</t>
  </si>
  <si>
    <t>TRIPOLI</t>
  </si>
  <si>
    <t>LIBYA</t>
  </si>
  <si>
    <t>MALE</t>
  </si>
  <si>
    <t>MALDIVES</t>
  </si>
  <si>
    <t>VALLETTA</t>
  </si>
  <si>
    <t>MALTA</t>
  </si>
  <si>
    <t>CASABLANCA</t>
  </si>
  <si>
    <t>MOROCCO</t>
  </si>
  <si>
    <t>RABAT</t>
  </si>
  <si>
    <t>MUSCAT</t>
  </si>
  <si>
    <t>OMAN</t>
  </si>
  <si>
    <t>ISLAMABAD</t>
  </si>
  <si>
    <t>PAKISTAN</t>
  </si>
  <si>
    <t>KARACHI</t>
  </si>
  <si>
    <t>LAHORE</t>
  </si>
  <si>
    <t>PESHAWAR</t>
  </si>
  <si>
    <t>DOHA</t>
  </si>
  <si>
    <t>QATAR</t>
  </si>
  <si>
    <t>DHAHRAN</t>
  </si>
  <si>
    <t>SAUDI ARABIA</t>
  </si>
  <si>
    <t>JEDDAH</t>
  </si>
  <si>
    <t>RIYADH</t>
  </si>
  <si>
    <t>DAMASCUS</t>
  </si>
  <si>
    <t>SYRIA</t>
  </si>
  <si>
    <t>DUSHANBE</t>
  </si>
  <si>
    <t>TAJIKISTAN</t>
  </si>
  <si>
    <t>TUNIS</t>
  </si>
  <si>
    <t>TUNISIA</t>
  </si>
  <si>
    <t>ASHGABAT</t>
  </si>
  <si>
    <t>TURKMENISTAN</t>
  </si>
  <si>
    <t>DUBAI</t>
  </si>
  <si>
    <t>UNITED ARAB EMIRATES</t>
  </si>
  <si>
    <t>ABU DHABI</t>
  </si>
  <si>
    <t>TASHKENT</t>
  </si>
  <si>
    <t>UZBEKISTAN</t>
  </si>
  <si>
    <t>SANA'A</t>
  </si>
  <si>
    <t>YEMEN</t>
  </si>
  <si>
    <t>MAZATLAN</t>
  </si>
  <si>
    <t>MEXICO</t>
  </si>
  <si>
    <t>SAINT JOHN'S</t>
  </si>
  <si>
    <t>ANTIGUA AND BARBUDA</t>
  </si>
  <si>
    <t>BUENOS AIRES</t>
  </si>
  <si>
    <t>ARGENTINA</t>
  </si>
  <si>
    <t>ARUBA</t>
  </si>
  <si>
    <t>FREEPORT</t>
  </si>
  <si>
    <t>BAHAMAS</t>
  </si>
  <si>
    <t>NASSAU</t>
  </si>
  <si>
    <t>BRIDGETOWN</t>
  </si>
  <si>
    <t>BARBADOS</t>
  </si>
  <si>
    <t>BELMOPAN</t>
  </si>
  <si>
    <t>BELIZE</t>
  </si>
  <si>
    <t xml:space="preserve">HAMILTON </t>
  </si>
  <si>
    <t>BERMUDA</t>
  </si>
  <si>
    <t xml:space="preserve">DEVONSHIRE </t>
  </si>
  <si>
    <t>SUCRE</t>
  </si>
  <si>
    <t>BOLIVIA</t>
  </si>
  <si>
    <t xml:space="preserve">LA PAZ </t>
  </si>
  <si>
    <t>BRASILIA</t>
  </si>
  <si>
    <t>BRAZIL</t>
  </si>
  <si>
    <t>PORTO ALGRE</t>
  </si>
  <si>
    <t>RECIFE</t>
  </si>
  <si>
    <t>RIO DE JANEIRO</t>
  </si>
  <si>
    <t>SAO PAULO</t>
  </si>
  <si>
    <t>CALGARY</t>
  </si>
  <si>
    <t>CANADA</t>
  </si>
  <si>
    <t>EDMONTON</t>
  </si>
  <si>
    <t>HALIFAX</t>
  </si>
  <si>
    <t>OTTAWA</t>
  </si>
  <si>
    <t>MONTREAL</t>
  </si>
  <si>
    <t>QUEBEC CITY</t>
  </si>
  <si>
    <t>TORONTO</t>
  </si>
  <si>
    <t>VANCOUVER</t>
  </si>
  <si>
    <t>WINNIPEG</t>
  </si>
  <si>
    <t>SANTIAGO</t>
  </si>
  <si>
    <t>CHILE</t>
  </si>
  <si>
    <t>BOGOTA</t>
  </si>
  <si>
    <t>COLOMBIA</t>
  </si>
  <si>
    <t>CARTEGENA</t>
  </si>
  <si>
    <t>SAN JOSE</t>
  </si>
  <si>
    <t>COSTA RICA</t>
  </si>
  <si>
    <t>HAVANA</t>
  </si>
  <si>
    <t>CUBA</t>
  </si>
  <si>
    <t>CURACAO</t>
  </si>
  <si>
    <t>ROSEAU</t>
  </si>
  <si>
    <t>DOMINICA</t>
  </si>
  <si>
    <t>SANTO DOMINGO</t>
  </si>
  <si>
    <t>DOMINICAN REPUBLIC</t>
  </si>
  <si>
    <t>GUAYAQUIL</t>
  </si>
  <si>
    <t>ECUADOR</t>
  </si>
  <si>
    <t>QUITO</t>
  </si>
  <si>
    <t>SAN SALVADOR</t>
  </si>
  <si>
    <t>EL SALVADOR</t>
  </si>
  <si>
    <t>SAINT GEORGE'S</t>
  </si>
  <si>
    <t>GRENADA</t>
  </si>
  <si>
    <t>GUATEMALA CITY</t>
  </si>
  <si>
    <t>GUATEMALA</t>
  </si>
  <si>
    <t>GEORGETOWN</t>
  </si>
  <si>
    <t>GUYANA</t>
  </si>
  <si>
    <t>PORT AU PRINCE</t>
  </si>
  <si>
    <t>HAITI</t>
  </si>
  <si>
    <t>TEGUCIGALPA</t>
  </si>
  <si>
    <t>HONDURAS</t>
  </si>
  <si>
    <t>KINGSTON</t>
  </si>
  <si>
    <t>JAMAICA</t>
  </si>
  <si>
    <t>CIUDAD JUAREZ</t>
  </si>
  <si>
    <t>GUADALAJARA</t>
  </si>
  <si>
    <t>HERMOSILLO</t>
  </si>
  <si>
    <t>MATAMOROS</t>
  </si>
  <si>
    <t>MERIDA</t>
  </si>
  <si>
    <t>MEXICO CITY</t>
  </si>
  <si>
    <t>MONTERREY</t>
  </si>
  <si>
    <t>NOGALES</t>
  </si>
  <si>
    <t>TIJUANA</t>
  </si>
  <si>
    <t>NUEVO LAREDO</t>
  </si>
  <si>
    <t>MANAGUA</t>
  </si>
  <si>
    <t>NICARAGUA</t>
  </si>
  <si>
    <t>PANAMA CITY</t>
  </si>
  <si>
    <t>PANAMA</t>
  </si>
  <si>
    <t>ASUNCION</t>
  </si>
  <si>
    <t>PARAGUAY</t>
  </si>
  <si>
    <t>LIMA</t>
  </si>
  <si>
    <t>PERU</t>
  </si>
  <si>
    <t>BASSETERRE</t>
  </si>
  <si>
    <t>SAINT KITTS AND NEVIS</t>
  </si>
  <si>
    <t>CASTRIES</t>
  </si>
  <si>
    <t>SAINT LUCIA</t>
  </si>
  <si>
    <t>KINGSTOWN</t>
  </si>
  <si>
    <t>SAINT VINCENT AND THE GRENADINES</t>
  </si>
  <si>
    <t>PARAMARIBO</t>
  </si>
  <si>
    <t>SURINAME</t>
  </si>
  <si>
    <t>PORT OF SPAIN</t>
  </si>
  <si>
    <t>TRINIDAD AND TOBAGO</t>
  </si>
  <si>
    <t>MONTEVIDEO</t>
  </si>
  <si>
    <t>URUGUAY</t>
  </si>
  <si>
    <t>CARACAS</t>
  </si>
  <si>
    <t>VENEZUELA</t>
  </si>
  <si>
    <t>BRUSSELS</t>
  </si>
  <si>
    <t>NEA &amp;AIK</t>
  </si>
  <si>
    <t>LA PAZ</t>
  </si>
  <si>
    <t>CABLE INBOX CHECKED</t>
  </si>
  <si>
    <t>DATE</t>
  </si>
  <si>
    <t>TIME</t>
  </si>
  <si>
    <t>Cable #</t>
  </si>
  <si>
    <t>Budget  Codes for MEDEVAC</t>
  </si>
  <si>
    <t>23 STATE 110530</t>
  </si>
  <si>
    <t>Cable Tracker</t>
  </si>
  <si>
    <t>Budget Employee</t>
  </si>
  <si>
    <t>STATUS                                                                                       (Describe and sign in Budget Employee for note)</t>
  </si>
  <si>
    <t>Obligation                               Number</t>
  </si>
  <si>
    <t>Cable Date</t>
  </si>
  <si>
    <t>USE NEW CASE LOG FY24</t>
  </si>
  <si>
    <t>Vinson Sack</t>
  </si>
  <si>
    <t>Mohammad Shams</t>
  </si>
  <si>
    <t>Josh Ahern</t>
  </si>
  <si>
    <t>Taylor Gilman</t>
  </si>
  <si>
    <t>Moe Sham</t>
  </si>
  <si>
    <t>Moe Shams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</si>
</sst>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x14ac:knownFonts="1">
    <font>
      <sz val="11"/>
      <color theme="1"/>
      <name val="Aptos Narrow"/>
      <family val="2"/>
      <scheme val="minor"/>
    </font>
    <font>
      <sz val="11"/>
      <color rgb="FF000000"/>
      <name val="Calibri"/>
      <family val="2"/>
    </font>
    <font>
      <sz val="11"/>
      <color rgb="FF000000"/>
      <name val="Times New Roman"/>
      <family val="1"/>
    </font>
    <font>
      <b/>
      <sz val="11"/>
      <color rgb="FFFFFFFF"/>
      <name val="Calibri"/>
      <family val="2"/>
    </font>
    <font>
      <b/>
      <sz val="11"/>
      <color rgb="FFFFFFFF"/>
      <name val="Times New Roman"/>
      <family val="1"/>
    </font>
    <font>
      <b/>
      <sz val="11"/>
      <color rgb="FF000000"/>
      <name val="Calibri"/>
      <family val="2"/>
    </font>
    <font>
      <sz val="11"/>
      <color rgb="FFFFFFFF"/>
      <name val="Calibri"/>
      <family val="2"/>
    </font>
    <font>
      <sz val="12"/>
      <color rgb="FF000000"/>
      <name val="Times New Roman"/>
      <family val="1"/>
    </font>
    <font>
      <b/>
      <sz val="14"/>
      <color rgb="FF000000"/>
      <name val="Times New Roman"/>
      <family val="1"/>
    </font>
    <font>
      <b/>
      <sz val="12"/>
      <color rgb="FFFFFFFF"/>
      <name val="Times New Roman"/>
      <family val="1"/>
    </font>
    <font>
      <sz val="12"/>
      <color rgb="FF000000"/>
      <name val="Calibri"/>
      <family val="2"/>
    </font>
    <font>
      <sz val="12"/>
      <name val="Times New Roman"/>
      <family val="1"/>
    </font>
    <font>
      <b/>
      <sz val="12"/>
      <name val="Times New Roman"/>
      <family val="1"/>
    </font>
    <font>
      <sz val="10"/>
      <color rgb="FF000000"/>
      <name val="Times New Roman"/>
      <family val="1"/>
    </font>
    <font>
      <b/>
      <sz val="11"/>
      <color rgb="FF4472C4"/>
      <name val="Times New Roman"/>
      <family val="1"/>
    </font>
    <font>
      <b/>
      <sz val="10"/>
      <color rgb="FF000000"/>
      <name val="Times New Roman"/>
      <family val="1"/>
    </font>
    <font>
      <b/>
      <sz val="16"/>
      <color rgb="FF4472C4"/>
      <name val="Times New Roman"/>
      <family val="1"/>
    </font>
    <font>
      <b/>
      <sz val="11"/>
      <color rgb="FF000000"/>
      <name val="Times New Roman"/>
      <family val="1"/>
    </font>
    <font>
      <sz val="10"/>
      <color rgb="FFFF0000"/>
      <name val="Times New Roman"/>
      <family val="1"/>
    </font>
  </fonts>
  <fills count="34">
    <fill>
      <patternFill patternType="none"/>
    </fill>
    <fill>
      <patternFill patternType="gray125"/>
    </fill>
    <fill>
      <patternFill patternType="solid">
        <fgColor rgb="FF000000"/>
        <bgColor rgb="FF000000"/>
      </patternFill>
    </fill>
    <fill>
      <patternFill patternType="solid">
        <fgColor rgb="FF00B050"/>
        <bgColor rgb="FF000000"/>
      </patternFill>
    </fill>
    <fill>
      <patternFill patternType="solid">
        <fgColor rgb="FFD9D9D9"/>
        <bgColor rgb="FFD9D9D9"/>
      </patternFill>
    </fill>
    <fill>
      <patternFill patternType="solid">
        <fgColor rgb="FFD9D9D9"/>
        <bgColor rgb="FF000000"/>
      </patternFill>
    </fill>
    <fill>
      <patternFill patternType="solid">
        <fgColor rgb="FFFFFFFF"/>
        <bgColor rgb="FF000000"/>
      </patternFill>
    </fill>
    <fill>
      <patternFill patternType="solid">
        <fgColor rgb="FF7030A0"/>
        <bgColor rgb="FF000000"/>
      </patternFill>
    </fill>
    <fill>
      <patternFill patternType="solid">
        <fgColor rgb="FF1EC4E0"/>
        <bgColor rgb="FF000000"/>
      </patternFill>
    </fill>
    <fill>
      <patternFill patternType="solid">
        <fgColor rgb="FF00B0F0"/>
        <bgColor rgb="FF000000"/>
      </patternFill>
    </fill>
    <fill>
      <patternFill patternType="solid">
        <fgColor rgb="FFFFFF00"/>
        <bgColor rgb="FF000000"/>
      </patternFill>
    </fill>
    <fill>
      <patternFill patternType="solid">
        <fgColor rgb="FFFFC000"/>
        <bgColor rgb="FF000000"/>
      </patternFill>
    </fill>
    <fill>
      <patternFill patternType="solid">
        <fgColor rgb="FF1F3864"/>
        <bgColor rgb="FF000000"/>
      </patternFill>
    </fill>
    <fill>
      <patternFill patternType="solid">
        <fgColor rgb="FFD0CECE"/>
        <bgColor rgb="FF000000"/>
      </patternFill>
    </fill>
    <fill>
      <patternFill patternType="solid">
        <fgColor rgb="FFC27270"/>
        <bgColor rgb="FF000000"/>
      </patternFill>
    </fill>
    <fill>
      <patternFill patternType="solid">
        <fgColor rgb="FF70AD47"/>
        <bgColor rgb="FF000000"/>
      </patternFill>
    </fill>
    <fill>
      <patternFill patternType="solid">
        <fgColor rgb="FFF8CBAD"/>
        <bgColor rgb="FF000000"/>
      </patternFill>
    </fill>
    <fill>
      <patternFill patternType="solid">
        <fgColor rgb="FF5B9BD5"/>
        <bgColor rgb="FF000000"/>
      </patternFill>
    </fill>
    <fill>
      <patternFill patternType="solid">
        <fgColor rgb="FFED7D31"/>
        <bgColor rgb="FF000000"/>
      </patternFill>
    </fill>
    <fill>
      <patternFill patternType="solid">
        <fgColor rgb="FF4472C4"/>
        <bgColor rgb="FF000000"/>
      </patternFill>
    </fill>
    <fill>
      <patternFill patternType="solid">
        <fgColor rgb="FFAEAAAA"/>
        <bgColor rgb="FF000000"/>
      </patternFill>
    </fill>
    <fill>
      <patternFill patternType="solid">
        <fgColor rgb="FFEACFCE"/>
        <bgColor rgb="FF000000"/>
      </patternFill>
    </fill>
    <fill>
      <patternFill patternType="solid">
        <fgColor rgb="FFE2EFDA"/>
        <bgColor rgb="FF000000"/>
      </patternFill>
    </fill>
    <fill>
      <patternFill patternType="solid">
        <fgColor rgb="FFFCE4D6"/>
        <bgColor rgb="FF000000"/>
      </patternFill>
    </fill>
    <fill>
      <patternFill patternType="solid">
        <fgColor rgb="FFBFBFBF"/>
        <bgColor rgb="FF000000"/>
      </patternFill>
    </fill>
    <fill>
      <patternFill patternType="solid">
        <fgColor rgb="FFFFF2CC"/>
        <bgColor rgb="FF000000"/>
      </patternFill>
    </fill>
    <fill>
      <patternFill patternType="solid">
        <fgColor rgb="FFDDEBF7"/>
        <bgColor rgb="FF000000"/>
      </patternFill>
    </fill>
    <fill>
      <patternFill patternType="solid">
        <fgColor rgb="FFD9E1F2"/>
        <bgColor rgb="FF000000"/>
      </patternFill>
    </fill>
    <fill>
      <patternFill patternType="solid">
        <fgColor rgb="FFD9E1F2"/>
        <bgColor rgb="FFD9E1F2"/>
      </patternFill>
    </fill>
    <fill>
      <patternFill patternType="solid">
        <fgColor rgb="FFA6A6A6"/>
        <bgColor rgb="FF000000"/>
      </patternFill>
    </fill>
    <fill>
      <patternFill patternType="solid">
        <fgColor rgb="FFC00000"/>
        <bgColor rgb="FF000000"/>
      </patternFill>
    </fill>
    <fill>
      <patternFill patternType="solid">
        <fgColor rgb="FFD6DCE4"/>
        <bgColor rgb="FF000000"/>
      </patternFill>
    </fill>
    <fill>
      <patternFill patternType="solid">
        <fgColor rgb="FFC6E0B4"/>
        <bgColor rgb="FF000000"/>
      </patternFill>
    </fill>
    <fill>
      <patternFill patternType="solid">
        <fgColor rgb="FFFFE699"/>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thin">
        <color rgb="FF8EA9DB"/>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top style="medium">
        <color rgb="FF000000"/>
      </top>
      <bottom/>
      <diagonal/>
    </border>
    <border>
      <left/>
      <right/>
      <top/>
      <bottom style="thin">
        <color rgb="FF8EA9DB"/>
      </bottom>
      <diagonal/>
    </border>
    <border>
      <left style="thin">
        <color indexed="64"/>
      </left>
      <right/>
      <top/>
      <bottom style="thin">
        <color rgb="FF8EA9DB"/>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bottom style="medium">
        <color indexed="64"/>
      </bottom>
      <diagonal/>
    </border>
    <border>
      <left/>
      <right style="thin">
        <color indexed="64"/>
      </right>
      <top/>
      <bottom/>
      <diagonal/>
    </border>
  </borders>
  <cellStyleXfs count="1">
    <xf numFmtId="0" fontId="0" fillId="0" borderId="0"/>
  </cellStyleXfs>
  <cellXfs count="144">
    <xf numFmtId="0" fontId="0" fillId="0" borderId="0" xfId="0"/>
    <xf numFmtId="0" fontId="1" fillId="0" borderId="0" xfId="0" applyFont="1"/>
    <xf numFmtId="0" fontId="2" fillId="0" borderId="0" xfId="0" applyFont="1" applyAlignment="1">
      <alignment horizontal="center"/>
    </xf>
    <xf numFmtId="0" fontId="3" fillId="2" borderId="0" xfId="0" applyFont="1" applyFill="1"/>
    <xf numFmtId="0" fontId="5" fillId="3" borderId="0" xfId="0" applyFont="1" applyFill="1" applyAlignment="1">
      <alignment horizontal="center" vertical="center"/>
    </xf>
    <xf numFmtId="0" fontId="5" fillId="3" borderId="0" xfId="0" applyFont="1" applyFill="1" applyAlignment="1">
      <alignment horizontal="center" vertical="center" wrapText="1"/>
    </xf>
    <xf numFmtId="0" fontId="6" fillId="2" borderId="1" xfId="0" applyFont="1" applyFill="1" applyBorder="1"/>
    <xf numFmtId="0" fontId="1" fillId="4" borderId="0" xfId="0" applyFont="1" applyFill="1"/>
    <xf numFmtId="0" fontId="2" fillId="4" borderId="2" xfId="0" applyFont="1" applyFill="1" applyBorder="1" applyAlignment="1">
      <alignment horizontal="center"/>
    </xf>
    <xf numFmtId="0" fontId="1" fillId="0" borderId="1" xfId="0" applyFont="1" applyBorder="1"/>
    <xf numFmtId="0" fontId="1" fillId="0" borderId="4" xfId="0" applyFont="1" applyBorder="1"/>
    <xf numFmtId="0" fontId="1" fillId="0" borderId="5" xfId="0" applyFont="1" applyBorder="1"/>
    <xf numFmtId="0" fontId="1" fillId="0" borderId="6" xfId="0" applyFont="1" applyBorder="1"/>
    <xf numFmtId="0" fontId="1" fillId="5" borderId="2" xfId="0" applyFont="1" applyFill="1" applyBorder="1" applyAlignment="1">
      <alignment vertical="center" wrapText="1"/>
    </xf>
    <xf numFmtId="0" fontId="1" fillId="6" borderId="2" xfId="0" applyFont="1" applyFill="1" applyBorder="1" applyAlignment="1">
      <alignment vertical="center" wrapText="1"/>
    </xf>
    <xf numFmtId="0" fontId="6" fillId="2" borderId="0" xfId="0" applyFont="1" applyFill="1"/>
    <xf numFmtId="0" fontId="5" fillId="7" borderId="0" xfId="0" applyFont="1" applyFill="1" applyAlignment="1">
      <alignment horizontal="center" vertical="center"/>
    </xf>
    <xf numFmtId="0" fontId="5" fillId="7" borderId="0" xfId="0" applyFont="1" applyFill="1" applyAlignment="1">
      <alignment horizontal="center" vertical="center" wrapText="1"/>
    </xf>
    <xf numFmtId="0" fontId="5" fillId="8" borderId="0" xfId="0" applyFont="1" applyFill="1" applyAlignment="1">
      <alignment horizontal="center" vertical="center"/>
    </xf>
    <xf numFmtId="0" fontId="5" fillId="8" borderId="0" xfId="0" applyFont="1" applyFill="1" applyAlignment="1">
      <alignment horizontal="center" vertical="center" wrapText="1"/>
    </xf>
    <xf numFmtId="0" fontId="5" fillId="9" borderId="0" xfId="0" applyFont="1" applyFill="1" applyAlignment="1">
      <alignment horizontal="center" vertical="center"/>
    </xf>
    <xf numFmtId="0" fontId="5" fillId="9" borderId="0" xfId="0" applyFont="1" applyFill="1" applyAlignment="1">
      <alignment horizontal="center" vertical="center" wrapText="1"/>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9" borderId="3" xfId="0" applyFont="1" applyFill="1" applyBorder="1" applyAlignment="1">
      <alignment horizontal="center" vertical="center"/>
    </xf>
    <xf numFmtId="0" fontId="4"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7" fillId="0" borderId="0" xfId="0" applyFont="1" applyAlignment="1">
      <alignment horizontal="center"/>
    </xf>
    <xf numFmtId="0" fontId="8" fillId="5" borderId="9" xfId="0" applyFont="1" applyFill="1" applyBorder="1" applyAlignment="1">
      <alignment horizontal="center"/>
    </xf>
    <xf numFmtId="0" fontId="8" fillId="5" borderId="10" xfId="0" applyFont="1" applyFill="1" applyBorder="1" applyAlignment="1">
      <alignment horizontal="center"/>
    </xf>
    <xf numFmtId="0" fontId="9" fillId="12" borderId="11" xfId="0" applyFont="1" applyFill="1" applyBorder="1" applyAlignment="1">
      <alignment horizontal="center" vertical="center" wrapText="1"/>
    </xf>
    <xf numFmtId="0" fontId="9" fillId="12" borderId="12" xfId="0" applyFont="1" applyFill="1" applyBorder="1" applyAlignment="1">
      <alignment horizontal="center" vertical="center" wrapText="1"/>
    </xf>
    <xf numFmtId="0" fontId="9" fillId="12" borderId="9" xfId="0" applyFont="1" applyFill="1" applyBorder="1" applyAlignment="1">
      <alignment horizontal="center" vertical="center" wrapText="1"/>
    </xf>
    <xf numFmtId="0" fontId="9" fillId="12" borderId="10" xfId="0" applyFont="1" applyFill="1" applyBorder="1" applyAlignment="1">
      <alignment horizontal="center" vertical="center" wrapText="1"/>
    </xf>
    <xf numFmtId="0" fontId="1" fillId="13" borderId="9" xfId="0" applyFont="1" applyFill="1" applyBorder="1" applyAlignment="1">
      <alignment horizontal="center"/>
    </xf>
    <xf numFmtId="0" fontId="1" fillId="13" borderId="13" xfId="0" applyFont="1" applyFill="1" applyBorder="1" applyAlignment="1">
      <alignment horizontal="center"/>
    </xf>
    <xf numFmtId="0" fontId="7" fillId="0" borderId="9" xfId="0" applyFont="1" applyBorder="1" applyAlignment="1">
      <alignment horizontal="center"/>
    </xf>
    <xf numFmtId="0" fontId="10" fillId="13" borderId="9" xfId="0" applyFont="1" applyFill="1" applyBorder="1" applyAlignment="1">
      <alignment horizontal="center"/>
    </xf>
    <xf numFmtId="0" fontId="1" fillId="0" borderId="10" xfId="0" applyFont="1" applyBorder="1" applyAlignment="1">
      <alignment horizontal="center"/>
    </xf>
    <xf numFmtId="0" fontId="11" fillId="0" borderId="0" xfId="0" applyFont="1" applyAlignment="1">
      <alignment horizontal="center" vertical="center"/>
    </xf>
    <xf numFmtId="0" fontId="12" fillId="14" borderId="0" xfId="0" applyFont="1" applyFill="1" applyAlignment="1">
      <alignment horizontal="center" vertical="center" wrapText="1"/>
    </xf>
    <xf numFmtId="0" fontId="12" fillId="14" borderId="14" xfId="0" applyFont="1" applyFill="1" applyBorder="1" applyAlignment="1">
      <alignment horizontal="center" vertical="center" wrapText="1"/>
    </xf>
    <xf numFmtId="0" fontId="12" fillId="15" borderId="14" xfId="0" applyFont="1" applyFill="1" applyBorder="1" applyAlignment="1">
      <alignment horizontal="center" vertical="center" wrapText="1"/>
    </xf>
    <xf numFmtId="0" fontId="12" fillId="16" borderId="14" xfId="0" applyFont="1" applyFill="1" applyBorder="1" applyAlignment="1">
      <alignment horizontal="center" vertical="center" wrapText="1"/>
    </xf>
    <xf numFmtId="0" fontId="12" fillId="11" borderId="14" xfId="0" applyFont="1" applyFill="1" applyBorder="1" applyAlignment="1">
      <alignment horizontal="center" vertical="center" wrapText="1"/>
    </xf>
    <xf numFmtId="0" fontId="12" fillId="17" borderId="14" xfId="0" applyFont="1" applyFill="1" applyBorder="1" applyAlignment="1">
      <alignment horizontal="center" vertical="center" wrapText="1"/>
    </xf>
    <xf numFmtId="0" fontId="12" fillId="18" borderId="14" xfId="0" applyFont="1" applyFill="1" applyBorder="1" applyAlignment="1">
      <alignment horizontal="center" vertical="center" wrapText="1"/>
    </xf>
    <xf numFmtId="0" fontId="12" fillId="19" borderId="14" xfId="0" applyFont="1" applyFill="1" applyBorder="1" applyAlignment="1">
      <alignment horizontal="center" vertical="center" wrapText="1"/>
    </xf>
    <xf numFmtId="0" fontId="7" fillId="20" borderId="15" xfId="0" applyFont="1" applyFill="1" applyBorder="1" applyAlignment="1">
      <alignment horizontal="center"/>
    </xf>
    <xf numFmtId="0" fontId="7" fillId="20" borderId="0" xfId="0" applyFont="1" applyFill="1" applyAlignment="1">
      <alignment horizontal="center"/>
    </xf>
    <xf numFmtId="0" fontId="7" fillId="21" borderId="0" xfId="0" applyFont="1" applyFill="1" applyAlignment="1">
      <alignment horizontal="center"/>
    </xf>
    <xf numFmtId="8" fontId="7" fillId="20" borderId="0" xfId="0" applyNumberFormat="1" applyFont="1" applyFill="1" applyAlignment="1">
      <alignment horizontal="center"/>
    </xf>
    <xf numFmtId="14" fontId="7" fillId="20" borderId="0" xfId="0" applyNumberFormat="1" applyFont="1" applyFill="1" applyAlignment="1">
      <alignment horizontal="center"/>
    </xf>
    <xf numFmtId="14" fontId="7" fillId="22" borderId="0" xfId="0" applyNumberFormat="1" applyFont="1" applyFill="1" applyAlignment="1">
      <alignment horizontal="center"/>
    </xf>
    <xf numFmtId="0" fontId="7" fillId="22" borderId="0" xfId="0" applyFont="1" applyFill="1" applyAlignment="1">
      <alignment horizontal="center"/>
    </xf>
    <xf numFmtId="8" fontId="7" fillId="22" borderId="0" xfId="0" applyNumberFormat="1" applyFont="1" applyFill="1" applyAlignment="1">
      <alignment horizontal="center"/>
    </xf>
    <xf numFmtId="8" fontId="11" fillId="20" borderId="0" xfId="0" applyNumberFormat="1" applyFont="1" applyFill="1" applyAlignment="1">
      <alignment horizontal="center"/>
    </xf>
    <xf numFmtId="0" fontId="7" fillId="23" borderId="0" xfId="0" applyFont="1" applyFill="1" applyAlignment="1">
      <alignment horizontal="center"/>
    </xf>
    <xf numFmtId="14" fontId="7" fillId="23" borderId="0" xfId="0" applyNumberFormat="1" applyFont="1" applyFill="1" applyAlignment="1">
      <alignment horizontal="center"/>
    </xf>
    <xf numFmtId="0" fontId="7" fillId="23" borderId="0" xfId="0" applyFont="1" applyFill="1" applyAlignment="1">
      <alignment horizontal="center" wrapText="1"/>
    </xf>
    <xf numFmtId="8" fontId="7" fillId="24" borderId="0" xfId="0" applyNumberFormat="1" applyFont="1" applyFill="1" applyAlignment="1">
      <alignment horizontal="center"/>
    </xf>
    <xf numFmtId="0" fontId="7" fillId="25" borderId="0" xfId="0" applyFont="1" applyFill="1" applyAlignment="1">
      <alignment horizontal="center"/>
    </xf>
    <xf numFmtId="0" fontId="7" fillId="26" borderId="0" xfId="0" applyFont="1" applyFill="1" applyAlignment="1">
      <alignment horizontal="center"/>
    </xf>
    <xf numFmtId="0" fontId="7" fillId="27" borderId="0" xfId="0" applyFont="1" applyFill="1" applyAlignment="1">
      <alignment horizontal="center"/>
    </xf>
    <xf numFmtId="8" fontId="7" fillId="23" borderId="0" xfId="0" applyNumberFormat="1" applyFont="1" applyFill="1" applyAlignment="1">
      <alignment horizontal="center"/>
    </xf>
    <xf numFmtId="0" fontId="7" fillId="28" borderId="0" xfId="0" applyFont="1" applyFill="1" applyAlignment="1">
      <alignment horizontal="left"/>
    </xf>
    <xf numFmtId="14" fontId="7" fillId="28" borderId="16" xfId="0" applyNumberFormat="1" applyFont="1" applyFill="1" applyBorder="1" applyAlignment="1">
      <alignment horizontal="center"/>
    </xf>
    <xf numFmtId="0" fontId="7" fillId="29" borderId="15" xfId="0" applyFont="1" applyFill="1" applyBorder="1" applyAlignment="1">
      <alignment horizontal="center"/>
    </xf>
    <xf numFmtId="0" fontId="2" fillId="0" borderId="0" xfId="0" applyFont="1" applyAlignment="1">
      <alignment horizontal="left"/>
    </xf>
    <xf numFmtId="14" fontId="2" fillId="0" borderId="16" xfId="0" applyNumberFormat="1" applyFont="1" applyBorder="1" applyAlignment="1">
      <alignment horizontal="center"/>
    </xf>
    <xf numFmtId="0" fontId="0" fillId="20" borderId="0" xfId="0" applyFill="1" applyAlignment="1">
      <alignment horizontal="center"/>
    </xf>
    <xf numFmtId="2" fontId="7" fillId="20" borderId="0" xfId="0" applyNumberFormat="1" applyFont="1" applyFill="1" applyAlignment="1">
      <alignment horizontal="center"/>
    </xf>
    <xf numFmtId="8" fontId="7" fillId="30" borderId="0" xfId="0" applyNumberFormat="1" applyFont="1" applyFill="1" applyAlignment="1">
      <alignment horizontal="center"/>
    </xf>
    <xf numFmtId="14" fontId="7" fillId="29" borderId="0" xfId="0" applyNumberFormat="1" applyFont="1" applyFill="1" applyAlignment="1">
      <alignment horizontal="center"/>
    </xf>
    <xf numFmtId="0" fontId="12" fillId="14" borderId="19" xfId="0" applyFont="1" applyFill="1" applyBorder="1" applyAlignment="1">
      <alignment horizontal="center" vertical="center" wrapText="1"/>
    </xf>
    <xf numFmtId="0" fontId="12" fillId="15" borderId="19" xfId="0" applyFont="1" applyFill="1" applyBorder="1" applyAlignment="1">
      <alignment horizontal="center" vertical="center" wrapText="1"/>
    </xf>
    <xf numFmtId="0" fontId="12" fillId="16" borderId="19" xfId="0" applyFont="1" applyFill="1" applyBorder="1" applyAlignment="1">
      <alignment horizontal="center" vertical="center" wrapText="1"/>
    </xf>
    <xf numFmtId="0" fontId="12" fillId="11" borderId="19" xfId="0" applyFont="1" applyFill="1" applyBorder="1" applyAlignment="1">
      <alignment horizontal="center" vertical="center" wrapText="1"/>
    </xf>
    <xf numFmtId="0" fontId="12" fillId="17" borderId="19" xfId="0" applyFont="1" applyFill="1" applyBorder="1" applyAlignment="1">
      <alignment horizontal="center" vertical="center" wrapText="1"/>
    </xf>
    <xf numFmtId="0" fontId="12" fillId="18" borderId="19" xfId="0" applyFont="1" applyFill="1" applyBorder="1" applyAlignment="1">
      <alignment horizontal="center" vertical="center" wrapText="1"/>
    </xf>
    <xf numFmtId="0" fontId="12" fillId="19" borderId="19" xfId="0" applyFont="1" applyFill="1" applyBorder="1" applyAlignment="1">
      <alignment horizontal="center" vertical="center" wrapText="1"/>
    </xf>
    <xf numFmtId="0" fontId="7" fillId="21" borderId="21" xfId="0" applyFont="1" applyFill="1" applyBorder="1" applyAlignment="1">
      <alignment horizontal="center"/>
    </xf>
    <xf numFmtId="0" fontId="7" fillId="21" borderId="20" xfId="0" applyFont="1" applyFill="1" applyBorder="1" applyAlignment="1">
      <alignment horizontal="center"/>
    </xf>
    <xf numFmtId="8" fontId="7" fillId="20" borderId="20" xfId="0" applyNumberFormat="1" applyFont="1" applyFill="1" applyBorder="1" applyAlignment="1">
      <alignment horizontal="center"/>
    </xf>
    <xf numFmtId="0" fontId="1" fillId="13" borderId="20" xfId="0" applyFont="1" applyFill="1" applyBorder="1" applyAlignment="1">
      <alignment horizontal="center"/>
    </xf>
    <xf numFmtId="9" fontId="7" fillId="22" borderId="20" xfId="0" applyNumberFormat="1" applyFont="1" applyFill="1" applyBorder="1" applyAlignment="1">
      <alignment horizontal="center"/>
    </xf>
    <xf numFmtId="8" fontId="7" fillId="22" borderId="20" xfId="0" applyNumberFormat="1" applyFont="1" applyFill="1" applyBorder="1" applyAlignment="1">
      <alignment horizontal="center"/>
    </xf>
    <xf numFmtId="0" fontId="7" fillId="22" borderId="20" xfId="0" applyFont="1" applyFill="1" applyBorder="1" applyAlignment="1">
      <alignment horizontal="center"/>
    </xf>
    <xf numFmtId="0" fontId="7" fillId="23" borderId="20" xfId="0" applyFont="1" applyFill="1" applyBorder="1" applyAlignment="1">
      <alignment horizontal="center"/>
    </xf>
    <xf numFmtId="0" fontId="7" fillId="25" borderId="20" xfId="0" applyFont="1" applyFill="1" applyBorder="1" applyAlignment="1">
      <alignment horizontal="center"/>
    </xf>
    <xf numFmtId="0" fontId="7" fillId="26" borderId="20" xfId="0" applyFont="1" applyFill="1" applyBorder="1" applyAlignment="1">
      <alignment horizontal="center"/>
    </xf>
    <xf numFmtId="0" fontId="7" fillId="31" borderId="20" xfId="0" applyFont="1" applyFill="1" applyBorder="1" applyAlignment="1">
      <alignment horizontal="center"/>
    </xf>
    <xf numFmtId="0" fontId="7" fillId="27" borderId="20" xfId="0" applyFont="1" applyFill="1" applyBorder="1" applyAlignment="1">
      <alignment horizontal="center"/>
    </xf>
    <xf numFmtId="0" fontId="11" fillId="0" borderId="22" xfId="0" applyFont="1" applyBorder="1" applyAlignment="1">
      <alignment horizontal="center" vertical="center"/>
    </xf>
    <xf numFmtId="0" fontId="7" fillId="21" borderId="22" xfId="0" applyFont="1" applyFill="1" applyBorder="1" applyAlignment="1">
      <alignment horizontal="center"/>
    </xf>
    <xf numFmtId="0" fontId="1" fillId="13" borderId="0" xfId="0" applyFont="1" applyFill="1" applyAlignment="1">
      <alignment horizontal="center"/>
    </xf>
    <xf numFmtId="9" fontId="7" fillId="22" borderId="0" xfId="0" applyNumberFormat="1" applyFont="1" applyFill="1" applyAlignment="1">
      <alignment horizontal="center"/>
    </xf>
    <xf numFmtId="0" fontId="7" fillId="31" borderId="0" xfId="0" applyFont="1" applyFill="1" applyAlignment="1">
      <alignment horizontal="center"/>
    </xf>
    <xf numFmtId="0" fontId="2"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left"/>
    </xf>
    <xf numFmtId="0" fontId="15" fillId="0" borderId="4" xfId="0" applyFont="1" applyBorder="1"/>
    <xf numFmtId="0" fontId="17" fillId="0" borderId="23" xfId="0" applyFont="1" applyBorder="1" applyAlignment="1">
      <alignment horizontal="center"/>
    </xf>
    <xf numFmtId="0" fontId="17" fillId="0" borderId="6" xfId="0" applyFont="1" applyBorder="1" applyAlignment="1">
      <alignment horizontal="center"/>
    </xf>
    <xf numFmtId="0" fontId="17" fillId="0" borderId="4" xfId="0" applyFont="1" applyBorder="1"/>
    <xf numFmtId="0" fontId="15" fillId="32" borderId="4" xfId="0" applyFont="1" applyFill="1" applyBorder="1"/>
    <xf numFmtId="14" fontId="17" fillId="32" borderId="23" xfId="0" applyNumberFormat="1" applyFont="1" applyFill="1" applyBorder="1" applyAlignment="1">
      <alignment horizontal="center"/>
    </xf>
    <xf numFmtId="18" fontId="17" fillId="32" borderId="6" xfId="0" applyNumberFormat="1" applyFont="1" applyFill="1" applyBorder="1" applyAlignment="1">
      <alignment horizontal="center"/>
    </xf>
    <xf numFmtId="0" fontId="17" fillId="32" borderId="4" xfId="0" applyFont="1" applyFill="1" applyBorder="1" applyAlignment="1">
      <alignment wrapText="1"/>
    </xf>
    <xf numFmtId="0" fontId="17" fillId="33" borderId="23" xfId="0" applyFont="1" applyFill="1" applyBorder="1" applyAlignment="1">
      <alignment horizontal="center"/>
    </xf>
    <xf numFmtId="0" fontId="17" fillId="33" borderId="23" xfId="0" applyFont="1" applyFill="1" applyBorder="1"/>
    <xf numFmtId="0" fontId="7" fillId="0" borderId="0" xfId="0" applyFont="1" applyAlignment="1">
      <alignment horizontal="center" vertical="center" wrapText="1"/>
    </xf>
    <xf numFmtId="0" fontId="9" fillId="12" borderId="0" xfId="0" applyFont="1" applyFill="1" applyAlignment="1">
      <alignment horizontal="center" vertical="center" wrapText="1"/>
    </xf>
    <xf numFmtId="0" fontId="9" fillId="12" borderId="0" xfId="0" applyFont="1" applyFill="1" applyAlignment="1">
      <alignment vertical="center" wrapText="1"/>
    </xf>
    <xf numFmtId="0" fontId="2" fillId="4" borderId="15" xfId="0" applyFont="1" applyFill="1" applyBorder="1"/>
    <xf numFmtId="0" fontId="13" fillId="4" borderId="0" xfId="0" applyFont="1" applyFill="1" applyAlignment="1">
      <alignment horizontal="left" wrapText="1"/>
    </xf>
    <xf numFmtId="0" fontId="13" fillId="4" borderId="0" xfId="0" applyFont="1" applyFill="1" applyAlignment="1">
      <alignment horizontal="center" wrapText="1"/>
    </xf>
    <xf numFmtId="0" fontId="2" fillId="4" borderId="0" xfId="0" applyFont="1" applyFill="1" applyAlignment="1">
      <alignment horizontal="center"/>
    </xf>
    <xf numFmtId="0" fontId="2" fillId="4" borderId="0" xfId="0" applyFont="1" applyFill="1"/>
    <xf numFmtId="0" fontId="2" fillId="4" borderId="16" xfId="0" applyFont="1" applyFill="1" applyBorder="1"/>
    <xf numFmtId="0" fontId="13" fillId="0" borderId="0" xfId="0" applyFont="1" applyAlignment="1">
      <alignment horizontal="center" vertical="center"/>
    </xf>
    <xf numFmtId="0" fontId="2" fillId="0" borderId="12" xfId="0" applyFont="1" applyBorder="1" applyAlignment="1">
      <alignment horizontal="center" vertical="center"/>
    </xf>
    <xf numFmtId="0" fontId="18" fillId="0" borderId="11" xfId="0" applyFont="1" applyBorder="1" applyAlignment="1">
      <alignment horizontal="center" vertical="center"/>
    </xf>
    <xf numFmtId="0" fontId="2" fillId="0" borderId="11" xfId="0" applyFont="1" applyBorder="1" applyAlignment="1">
      <alignment horizontal="center" vertical="center"/>
    </xf>
    <xf numFmtId="0" fontId="2" fillId="0" borderId="29" xfId="0" applyFont="1" applyBorder="1" applyAlignment="1">
      <alignment horizontal="center" vertical="center"/>
    </xf>
    <xf numFmtId="0" fontId="0" fillId="0" borderId="15" xfId="0" applyBorder="1" applyAlignment="1">
      <alignment horizontal="left" vertical="top" wrapText="1"/>
    </xf>
    <xf numFmtId="0" fontId="0" fillId="0" borderId="0" xfId="0"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15" xfId="0" applyFont="1" applyBorder="1" applyAlignment="1">
      <alignment horizontal="left" vertical="top" wrapText="1"/>
    </xf>
    <xf numFmtId="0" fontId="1" fillId="0" borderId="0" xfId="0" applyFont="1" applyAlignment="1">
      <alignment horizontal="left" vertical="top" wrapText="1"/>
    </xf>
    <xf numFmtId="0" fontId="13" fillId="0" borderId="0" xfId="0" applyFont="1" applyAlignment="1">
      <alignment vertical="center"/>
    </xf>
    <xf numFmtId="0" fontId="13" fillId="0" borderId="16" xfId="0" applyFont="1" applyBorder="1" applyAlignment="1">
      <alignment vertical="center"/>
    </xf>
    <xf numFmtId="0" fontId="8" fillId="24" borderId="13" xfId="0" applyFont="1" applyFill="1" applyBorder="1" applyAlignment="1">
      <alignment horizontal="center" vertical="center"/>
    </xf>
    <xf numFmtId="0" fontId="8" fillId="24" borderId="9" xfId="0" applyFont="1" applyFill="1" applyBorder="1" applyAlignment="1">
      <alignment horizontal="center" vertical="center"/>
    </xf>
    <xf numFmtId="0" fontId="13" fillId="0" borderId="0" xfId="0" applyFont="1"/>
    <xf numFmtId="0" fontId="13" fillId="0" borderId="16" xfId="0" applyFont="1" applyBorder="1"/>
    <xf numFmtId="0" fontId="13" fillId="0" borderId="30" xfId="0" applyFont="1" applyBorder="1"/>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7" fillId="0" borderId="26" xfId="0" applyFont="1" applyBorder="1" applyAlignment="1">
      <alignment horizontal="center"/>
    </xf>
    <xf numFmtId="0" fontId="17" fillId="0" borderId="27" xfId="0" applyFont="1" applyBorder="1" applyAlignment="1">
      <alignment horizontal="center"/>
    </xf>
    <xf numFmtId="0" fontId="17" fillId="0" borderId="28" xfId="0" applyFont="1" applyBorder="1" applyAlignment="1">
      <alignment horizontal="center"/>
    </xf>
  </cellXfs>
  <cellStyles count="1">
    <cellStyle name="Normal" xfId="0" builtinId="0"/>
  </cellStyles>
  <dxfs count="399">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border outline="0">
        <top style="medium">
          <color indexed="64"/>
        </top>
      </border>
    </dxf>
    <dxf>
      <border outline="0">
        <bottom style="thin">
          <color rgb="FF000000"/>
        </bottom>
      </border>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FFFFFF"/>
        </patternFill>
      </fill>
      <alignment horizontal="general" vertical="center" textRotation="0" wrapText="1"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FFFFFF"/>
        </patternFill>
      </fill>
      <alignment horizontal="general" vertical="center"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border outline="0">
        <top style="medium">
          <color indexed="64"/>
        </top>
        <bottom style="thin">
          <color indexed="64"/>
        </bottom>
      </border>
    </dxf>
    <dxf>
      <font>
        <b/>
        <i val="0"/>
        <strike val="0"/>
        <condense val="0"/>
        <extend val="0"/>
        <outline val="0"/>
        <shadow val="0"/>
        <u val="none"/>
        <vertAlign val="baseline"/>
        <sz val="11"/>
        <color rgb="FFFFFFFF"/>
        <name val="Times New Roman"/>
        <family val="1"/>
        <scheme val="none"/>
      </font>
      <fill>
        <patternFill patternType="solid">
          <fgColor rgb="FF000000"/>
          <bgColor rgb="FF00000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dxf>
    <dxf>
      <font>
        <b/>
        <i val="0"/>
        <strike val="0"/>
        <condense val="0"/>
        <extend val="0"/>
        <outline val="0"/>
        <shadow val="0"/>
        <u val="none"/>
        <vertAlign val="baseline"/>
        <sz val="11"/>
        <color rgb="FFFFFFFF"/>
        <name val="Calibri"/>
        <family val="2"/>
        <scheme val="none"/>
      </font>
      <fill>
        <patternFill patternType="solid">
          <fgColor rgb="FF000000"/>
          <bgColor rgb="FF000000"/>
        </patternFill>
      </fill>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6DCE4"/>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3" formatCode="0%"/>
      <fill>
        <patternFill patternType="solid">
          <fgColor rgb="FF000000"/>
          <bgColor rgb="FFE2EFD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D0CE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D0CE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right/>
        <top/>
        <bottom style="thin">
          <color rgb="FF8EA9DB"/>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border diagonalUp="0" diagonalDown="0">
        <left style="thin">
          <color indexed="64"/>
        </left>
        <right/>
        <top/>
        <bottom style="thin">
          <color rgb="FF8EA9DB"/>
        </bottom>
        <vertical/>
        <horizontal/>
      </border>
    </dxf>
    <dxf>
      <border outline="0">
        <right style="thin">
          <color indexed="64"/>
        </right>
        <bottom style="thin">
          <color rgb="FF8EA9DB"/>
        </bottom>
      </border>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Times New Roman"/>
        <family val="1"/>
        <scheme val="none"/>
      </font>
      <fill>
        <patternFill patternType="solid">
          <fgColor rgb="FF000000"/>
          <bgColor rgb="FF4472C4"/>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A6A6A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A6A6A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0" formatCode="General"/>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0" formatCode="General"/>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9E1F2"/>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0" formatCode="General"/>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0" formatCode="General"/>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DDEBF7"/>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BFBFBF"/>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FCE4D6"/>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E2EFD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0" formatCode="General"/>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0" formatCode="General"/>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EACFCE"/>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9" formatCode="m/d/yyyy"/>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numFmt numFmtId="12" formatCode="&quot;$&quot;#,##0.00_);[Red]\(&quot;$&quot;#,##0.00\)"/>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EAAAA"/>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Times New Roman"/>
        <family val="1"/>
        <scheme val="none"/>
      </font>
      <fill>
        <patternFill patternType="solid">
          <fgColor rgb="FF000000"/>
          <bgColor rgb="FFA6A6A6"/>
        </patternFill>
      </fill>
      <alignment horizontal="center" vertical="bottom" textRotation="0" wrapText="0" indent="0" justifyLastLine="0" shrinkToFit="0" readingOrder="0"/>
      <border diagonalUp="0" diagonalDown="0">
        <left style="medium">
          <color indexed="64"/>
        </left>
        <right/>
        <top/>
        <bottom/>
        <vertical/>
        <horizontal/>
      </border>
    </dxf>
    <dxf>
      <font>
        <b/>
        <i val="0"/>
        <strike val="0"/>
        <condense val="0"/>
        <extend val="0"/>
        <outline val="0"/>
        <shadow val="0"/>
        <u val="none"/>
        <vertAlign val="baseline"/>
        <sz val="12"/>
        <color auto="1"/>
        <name val="Times New Roman"/>
        <family val="1"/>
        <scheme val="none"/>
      </font>
      <fill>
        <patternFill patternType="solid">
          <fgColor rgb="FF000000"/>
          <bgColor rgb="FFC27270"/>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Y2023%20MEDEVAC%20AH10:AH11Tracker"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EDEVAC%20Add'l%20Travlr%20Calculato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11Tracker"/>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EVAC Add'l Travlr Calculator"/>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68C9DBD-D252-402B-B111-528DF379C771}" name="Table11" displayName="Table11" ref="B7:IQ12" totalsRowShown="0" headerRowDxfId="398">
  <autoFilter ref="B7:IQ12" xr:uid="{E68C9DBD-D252-402B-B111-528DF379C771}"/>
  <tableColumns count="250">
    <tableColumn id="1" xr3:uid="{A31A7BF4-3C4B-4C1E-B74C-BEC011D5BC80}" name="MEDEVAC Status" dataDxfId="397">
      <calculatedColumnFormula>IF(NOT(ISBLANK('FY2023 MEDEVAC Tracker'!$IH8)), IH8, IF(NOT(ISBLANK('FY2023 MEDEVAC Tracker'!$HR8)), "10th Extension Funding Out", IF(NOT(ISBLANK('FY2023 MEDEVAC Tracker'!$GZ8)), "9th Extension Funding Out", IF(NOT(ISBLANK('FY2023 MEDEVAC Tracker'!$GH8)), "8th Extension Funding Out", IF(NOT(ISBLANK('FY2023 MEDEVAC Tracker'!$FP8)), "7th Extension Funding Out", IF(NOT(ISBLANK('FY2023 MEDEVAC Tracker'!$EX8)), "6th Extension Funding Out", IF(NOT(ISBLANK('FY2023 MEDEVAC Tracker'!$EF8)), "5th Extension Funding Out", IF(NOT(ISBLANK('FY2023 MEDEVAC Tracker'!$EE8)), "5th Extension In Processing", IF(NOT(ISBLANK('FY2023 MEDEVAC Tracker'!$DN8)), "4th Extension Funding Out", IF(NOT(ISBLANK('FY2023 MEDEVAC Tracker'!$DM8)), "4th Extension In Processing",IF(NOT(ISBLANK('FY2023 MEDEVAC Tracker'!$CV8)), "3rd Extension Funding Out", IF(NOT(ISBLANK('FY2023 MEDEVAC Tracker'!$CU8)), "3rd Extension In Processing", IF(NOT(ISBLANK('FY2023 MEDEVAC Tracker'!$CD8)), "2nd Extension Funding Out",  IF(NOT(ISBLANK('FY2023 MEDEVAC Tracker'!$CC8)), "2nd Extension In Processing", IF(NOT(ISBLANK('FY2023 MEDEVAC Tracker'!$BL8)), "1st Extension Funding Out", IF(NOT(ISBLANK('FY2023 MEDEVAC Tracker'!$BK8)), "1st Extension In Processing", IF(NOT(ISBLANK('FY2023 MEDEVAC Tracker'!$AR8)), "Amendment Funding Out", IF(NOT(ISBLANK('FY2023 MEDEVAC Tracker'!$AQ8)), "Amendment In Processing", IF(NOT(ISBLANK('FY2023 MEDEVAC Tracker'!$X8)), "Initial Funding Out", IF(NOT(ISBLANK('FY2023 MEDEVAC Tracker'!$W8)), "Initial In Processing", IF(NOT(ISBLANK('FY2023 MEDEVAC Tracker'!$W8)), "Initiated", "N/A")))))))))))))))))))))</calculatedColumnFormula>
    </tableColumn>
    <tableColumn id="2" xr3:uid="{196D43C1-89D8-4196-8229-54378DE9952F}" name="Cable Status" dataDxfId="396"/>
    <tableColumn id="3" xr3:uid="{17292D57-CD31-4BAF-9593-095545B06FCC}" name="Obligation Number" dataDxfId="395">
      <calculatedColumnFormula>_xlfn.NUMBERVALUE(CONCATENATE(RIGHT(YEAR((TODAY()-860)), 3), IF(OR('FY2023 MEDEVAC Tracker'!$E8="DOS", 'FY2023 MEDEVAC Tracker'!$E8="Seabee", 'FY2023 MEDEVAC Tracker'!$E8="DOS/Seabee"),10, 90), TEXT(((COUNTIF($E$8:E8, E8))-1),"000")))</calculatedColumnFormula>
    </tableColumn>
    <tableColumn id="4" xr3:uid="{6C30C217-9EE9-406B-8169-08C97FEAA488}" name="MSG, DOS, or Seabee"/>
    <tableColumn id="5" xr3:uid="{32E3EED9-D733-4ACD-ADE5-8B815E67FDFB}" name="Patient Name"/>
    <tableColumn id="6" xr3:uid="{866FBF3A-6444-4E0A-A32D-59787F401D8B}" name="Total Obligation" dataDxfId="394">
      <calculatedColumnFormula>IF(ISBLANK('FY2023 MEDEVAC Tracker'!$AO8), 'FY2023 MEDEVAC Tracker'!$AN8, 'FY2023 MEDEVAC Tracker'!$BI8)+'FY2023 MEDEVAC Tracker'!$CA8+'FY2023 MEDEVAC Tracker'!$CS8+'FY2023 MEDEVAC Tracker'!$DK8+'FY2023 MEDEVAC Tracker'!$EC8+'FY2023 MEDEVAC Tracker'!$EU8+'FY2023 MEDEVAC Tracker'!$FM8+'FY2023 MEDEVAC Tracker'!$GE8+'FY2023 MEDEVAC Tracker'!$GW8+'FY2023 MEDEVAC Tracker'!$HO8+'FY2023 MEDEVAC Tracker'!$IG8</calculatedColumnFormula>
    </tableColumn>
    <tableColumn id="7" xr3:uid="{AD596BA8-17A1-46C4-8A79-94B585628DC4}" name="Start Date" dataDxfId="393">
      <calculatedColumnFormula>IF(ISBLANK('FY2023 MEDEVAC Tracker'!$AO8), 'FY2023 MEDEVAC Tracker'!$S8, 'FY2023 MEDEVAC Tracker'!$AO8)</calculatedColumnFormula>
    </tableColumn>
    <tableColumn id="8" xr3:uid="{B6F974EF-03CE-4B53-98C0-BFB8587DFB76}" name="End Date" dataDxfId="392">
      <calculatedColumnFormula>MAX('FY2023 MEDEVAC Tracker'!$T8, 'FY2023 MEDEVAC Tracker'!$AP8, 'FY2023 MEDEVAC Tracker'!$BJ8,  'FY2023 MEDEVAC Tracker'!$CB8,  'FY2023 MEDEVAC Tracker'!$CT8,  'FY2023 MEDEVAC Tracker'!$DL8,  'FY2023 MEDEVAC Tracker'!$ED8,  'FY2023 MEDEVAC Tracker'!$EV8,  'FY2023 MEDEVAC Tracker'!$FN8,  'FY2023 MEDEVAC Tracker'!$GF8,  'FY2023 MEDEVAC Tracker'!$GX8,  'FY2023 MEDEVAC Tracker'!$HP8, )</calculatedColumnFormula>
    </tableColumn>
    <tableColumn id="9" xr3:uid="{7A521ECD-448D-4F00-A33F-D25F7A21D3C8}" name="MEDEVAC Type" dataDxfId="391"/>
    <tableColumn id="10" xr3:uid="{07D65E26-70F9-4790-909A-0F312897C517}" name="Traveler Type" dataDxfId="390"/>
    <tableColumn id="11" xr3:uid="{4B872CAC-E238-40F1-AD98-E6E9480E51B9}" name="Employee Status or Name" dataDxfId="389"/>
    <tableColumn id="12" xr3:uid="{A2BC491B-81CC-4026-A40B-2E83BF9ECE6B}" name="Region" dataDxfId="388">
      <calculatedColumnFormula>VLOOKUP('FY2023 MEDEVAC Tracker'!$N8, List!F:H, 3, FALSE)</calculatedColumnFormula>
    </tableColumn>
    <tableColumn id="13" xr3:uid="{68FCF77E-98EF-403A-BCBE-FDB44416AFA5}" name="Home Post" dataDxfId="387"/>
    <tableColumn id="14" xr3:uid="{58B8E5D7-2ACA-4F1C-87FE-73B4E0CED1D9}" name="MEDEVAC Location" dataDxfId="386">
      <calculatedColumnFormula>IF(NOT(ISBLANK('FY2023 MEDEVAC Tracker'!$HU8)), 'FY2023 MEDEVAC Tracker'!$HU8, IF(NOT(ISBLANK('FY2023 MEDEVAC Tracker'!$HC8)), 'FY2023 MEDEVAC Tracker'!$HC8, IF(NOT(ISBLANK('FY2023 MEDEVAC Tracker'!$GK8)), 'FY2023 MEDEVAC Tracker'!$GK8, IF(NOT(ISBLANK('FY2023 MEDEVAC Tracker'!$FS8)), 'FY2023 MEDEVAC Tracker'!$FS8, IF(NOT(ISBLANK('FY2023 MEDEVAC Tracker'!$FA8)), 'FY2023 MEDEVAC Tracker'!$FA8, IF(NOT(ISBLANK('FY2023 MEDEVAC Tracker'!$EI8)), 'FY2023 MEDEVAC Tracker'!$EI8, IF(NOT(ISBLANK('FY2023 MEDEVAC Tracker'!$DQ8)), 'FY2023 MEDEVAC Tracker'!$DQ8, IF(NOT(ISBLANK('FY2023 MEDEVAC Tracker'!$CY8)), 'FY2023 MEDEVAC Tracker'!$CY8, IF(NOT(ISBLANK('FY2023 MEDEVAC Tracker'!$CG8)), 'FY2023 MEDEVAC Tracker'!$CG8, IF(NOT(ISBLANK('FY2023 MEDEVAC Tracker'!$BO8)), 'FY2023 MEDEVAC Tracker'!$BO8, IF(NOT(ISBLANK('FY2023 MEDEVAC Tracker'!$AU8)), 'FY2023 MEDEVAC Tracker'!$AU8, IF(NOT(ISBLANK('FY2023 MEDEVAC Tracker'!$V8)), 'FY2023 MEDEVAC Tracker'!$V8, 'FY2023 MEDEVAC Tracker'!$V8))))))))))))</calculatedColumnFormula>
    </tableColumn>
    <tableColumn id="15" xr3:uid="{A488FE0B-AB67-435D-9B42-1C88FB4D3A08}" name="Route (CONUS/OCONUS)" dataDxfId="385"/>
    <tableColumn id="16" xr3:uid="{EADBC8E3-A04F-433A-865C-EB3973016426}" name="Number of Amendments" dataDxfId="384">
      <calculatedColumnFormula>IF(NOT(ISBLANK('FY2023 MEDEVAC Tracker'!#REF!)), 10, IF(NOT(ISBLANK('FY2023 MEDEVAC Tracker'!#REF!)), 9, IF(NOT(ISBLANK('FY2023 MEDEVAC Tracker'!#REF!)), 8, IF(NOT(ISBLANK('FY2023 MEDEVAC Tracker'!#REF!)), 7, IF(NOT(ISBLANK('FY2023 MEDEVAC Tracker'!#REF!)), 6, IF(NOT(ISBLANK('FY2023 MEDEVAC Tracker'!#REF!)), 5, IF(NOT(ISBLANK('FY2023 MEDEVAC Tracker'!#REF!)), 4, IF(NOT(ISBLANK('FY2023 MEDEVAC Tracker'!#REF!)), 3, IF(NOT(ISBLANK('FY2023 MEDEVAC Tracker'!#REF!)), 2, IF(NOT(ISBLANK('FY2023 MEDEVAC Tracker'!#REF!)), 1, 0))))))))))</calculatedColumnFormula>
    </tableColumn>
    <tableColumn id="17" xr3:uid="{F36952D0-EEBF-4A9C-8BB7-3F44E4D6C5B8}" name="Duration of Extensions" dataDxfId="383">
      <calculatedColumnFormula>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0)))))&lt;30, "0-30", 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0)))))&lt;60, "31-60", 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0)))))&lt;=90, "61-90", 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0)))))&gt;90, "91+", "N/A"))))</calculatedColumnFormula>
    </tableColumn>
    <tableColumn id="18" xr3:uid="{D08A61E8-EDFE-4FAB-B4AC-EF6105207FF4}" name="Initial Start Date" dataDxfId="382"/>
    <tableColumn id="19" xr3:uid="{F0C3E81F-D0EC-44E8-AED8-A427594BB9F3}" name="Initial End Date" dataDxfId="381"/>
    <tableColumn id="20" xr3:uid="{2F11983F-7864-4A75-A5E2-4C003ED487AD}" name="Number of Days " dataDxfId="380">
      <calculatedColumnFormula>_xlfn.DAYS('FY2023 MEDEVAC Tracker'!$T8,'FY2023 MEDEVAC Tracker'!$S8)+1</calculatedColumnFormula>
    </tableColumn>
    <tableColumn id="21" xr3:uid="{7A4A81E2-CBB0-44A9-92A8-1CA45DDBBFF2}" name="Initial MEDEVAC Location" dataDxfId="379"/>
    <tableColumn id="22" xr3:uid="{BDEEED9D-D500-431A-A978-C66D221E2996}" name="Funding Cable In Date" dataDxfId="378"/>
    <tableColumn id="23" xr3:uid="{E4B68077-0F53-43F8-8CE4-B2BB39A7496F}" name="Funding Cable Sent Date" dataDxfId="377"/>
    <tableColumn id="24" xr3:uid="{25EE93D3-E784-4F73-AD56-F518DFC636D6}" name="BD Employee" dataDxfId="376"/>
    <tableColumn id="25" xr3:uid="{7429BB24-0CF1-4CB0-A233-D98E9C9BB099}" name="Employee Response Time" dataDxfId="375">
      <calculatedColumnFormula>IF(OR(ISBLANK('FY2023 MEDEVAC Tracker'!$W8), ISBLANK('FY2023 MEDEVAC Tracker'!$X8)), "N/A", (NETWORKDAYS('FY2023 MEDEVAC Tracker'!$W8,'FY2023 MEDEVAC Tracker'!$X8)+1))</calculatedColumnFormula>
    </tableColumn>
    <tableColumn id="26" xr3:uid="{D3C0ECD2-9F99-49FF-A472-BAFE94752DED}" name="1st Per Diem Rate" dataDxfId="374"/>
    <tableColumn id="27" xr3:uid="{267BBA5F-2779-451D-9138-A30F68A0CE06}" name="# of Days at" dataDxfId="373"/>
    <tableColumn id="28" xr3:uid="{DE8B2722-0C78-4F1C-9F07-93283E75E4DA}" name="2nd Per Diem Rate" dataDxfId="372"/>
    <tableColumn id="29" xr3:uid="{57E14AD5-793C-4407-A621-38C40352F585}" name="# of Days at2" dataDxfId="371"/>
    <tableColumn id="30" xr3:uid="{22CB873B-E817-435D-A51A-0C819F7C7925}" name="3rd Per Diem Rate" dataDxfId="370"/>
    <tableColumn id="31" xr3:uid="{1DC60E4D-B9EA-47D8-BBFC-A8DBABB93087}" name="# of Days at3" dataDxfId="369"/>
    <tableColumn id="32" xr3:uid="{EDB5602E-7E53-4652-8F69-7F9A335B56E7}" name="4th Per Diem Rate" dataDxfId="368"/>
    <tableColumn id="33" xr3:uid="{43C66E4C-66CD-4D00-BCD1-2D5B805B05B2}" name="# of Days at4" dataDxfId="367"/>
    <tableColumn id="34" xr3:uid="{62FFF3FE-453C-4846-9579-1A8504C00C2A}" name="Airfare" dataDxfId="366"/>
    <tableColumn id="35" xr3:uid="{BAFB6004-4898-4D76-BB6F-6E5507F9862D}" name="Total Per Diem - Patient" dataDxfId="365">
      <calculatedColumnFormula>('FY2023 MEDEVAC Tracker'!$AA8*[1]AH11Tracker!$AB8)+('FY2023 MEDEVAC Tracker'!$AC8*'FY2023 MEDEVAC Tracker'!$AD8)+('FY2023 MEDEVAC Tracker'!$AE8*'FY2023 MEDEVAC Tracker'!$AF8)+('FY2023 MEDEVAC Tracker'!$AG8*'FY2023 MEDEVAC Tracker'!$AH8)</calculatedColumnFormula>
    </tableColumn>
    <tableColumn id="36" xr3:uid="{DD2D832A-1DB6-4FA9-862E-A66645C76548}" name="Total Per Diem - Additional Travelers" dataDxfId="364"/>
    <tableColumn id="37" xr3:uid="{261CC773-AC0D-4B6B-B9AC-3810DE111B1E}" name="Misc. Expenses" dataDxfId="363"/>
    <tableColumn id="38" xr3:uid="{2F0A8F60-4A7F-48BB-93C4-91D43CFCF0C9}" name="Total Per Diem" dataDxfId="362">
      <calculatedColumnFormula>'FY2023 MEDEVAC Tracker'!$AJ8+'FY2023 MEDEVAC Tracker'!$AK8+'FY2023 MEDEVAC Tracker'!$AL8</calculatedColumnFormula>
    </tableColumn>
    <tableColumn id="39" xr3:uid="{0176F258-96DD-4486-9646-9ADA6EF2FEB4}" name="Initial Funding Total" dataDxfId="361">
      <calculatedColumnFormula>AI8+AM8</calculatedColumnFormula>
    </tableColumn>
    <tableColumn id="40" xr3:uid="{899826F5-B805-4008-8E52-49B4C2E2A4F7}" name="A1 - Amended Start Date" dataDxfId="360"/>
    <tableColumn id="41" xr3:uid="{F71DE39E-F367-415C-94CA-244DED57C616}" name="A1 - Amended End Date" dataDxfId="359"/>
    <tableColumn id="42" xr3:uid="{CB52D1C4-9F6B-40BD-AAD6-0DF7CD0A9FF0}" name="A1 - Amendment Funding Cable In Date" dataDxfId="358"/>
    <tableColumn id="43" xr3:uid="{148B5C8F-8219-4905-966A-99FC1C2D7B54}" name="A1 - Amendment Funding Cable Out Date" dataDxfId="357"/>
    <tableColumn id="44" xr3:uid="{A3B3D2DB-9664-4435-BCD6-B8083662F30C}" name="A1 - BD Employee" dataDxfId="356"/>
    <tableColumn id="45" xr3:uid="{D341A8F5-EAAC-4341-A849-58480EF471BB}" name="A1 - Employee Response Time" dataDxfId="355">
      <calculatedColumnFormula>IF(OR(ISBLANK('FY2023 MEDEVAC Tracker'!$AQ8), ISBLANK('FY2023 MEDEVAC Tracker'!$AR8)), "N/A",'FY2023 MEDEVAC Tracker'!$AR8-'FY2023 MEDEVAC Tracker'!$AQ8)</calculatedColumnFormula>
    </tableColumn>
    <tableColumn id="46" xr3:uid="{ED03B496-12EF-4231-8C77-E7E2020E3581}" name="A1 - Amended MEDEVAC Location" dataDxfId="354"/>
    <tableColumn id="47" xr3:uid="{7193C1AE-36C0-4D96-9096-287FAC182C68}" name="A1 - 1st Per Diem Rate (Lodging + M&amp;IE)" dataDxfId="353"/>
    <tableColumn id="48" xr3:uid="{CF89A174-A434-43C1-93C1-5B35028E04E6}" name="A1 - # of Days At 1st Per Diem Rate" dataDxfId="352"/>
    <tableColumn id="49" xr3:uid="{D6BADEB5-6696-46D7-B6E1-19CEAFC9A605}" name="A1 - 2nd Per Diem Rate (Lodging + M&amp;IE)" dataDxfId="351"/>
    <tableColumn id="50" xr3:uid="{1EFCAD64-2A60-4648-92D7-B68F5DEF9656}" name="A1 - # of Days At 2nd Per Diem Rate" dataDxfId="350"/>
    <tableColumn id="51" xr3:uid="{A129DAF2-F5CA-4209-A3DC-D09AF7F1B848}" name="A1 - 3rd Per Diem Rate (Lodging + M&amp;IE)" dataDxfId="349"/>
    <tableColumn id="52" xr3:uid="{52151D1F-EF41-4E0D-A0B3-79B6FF5A07E0}" name="A1 - # of Days At 3rd Per Diem Rate" dataDxfId="348"/>
    <tableColumn id="53" xr3:uid="{FAC7513A-33C4-4136-8DDA-5499834D0F18}" name="A1 - 4th Per Diem Rate (Lodging + M&amp;IE)" dataDxfId="347"/>
    <tableColumn id="54" xr3:uid="{21CD9C6B-9FDB-4A71-A1BF-BCA65D6AC80C}" name="A1 - # of Days At 4th Per Diem Rate" dataDxfId="346"/>
    <tableColumn id="55" xr3:uid="{DAF765A4-8603-4385-A660-087E224C613A}" name="A1 - Airfare" dataDxfId="345"/>
    <tableColumn id="56" xr3:uid="{C6B8A107-5020-4F48-BA74-7334CA113827}" name="A1 - Total Per Diem Additional Travelers" dataDxfId="344"/>
    <tableColumn id="57" xr3:uid="{AEF648CE-BDFF-45D9-9057-B9AEBA7CA58B}" name="A1 - Misc. Expenses" dataDxfId="343"/>
    <tableColumn id="58" xr3:uid="{6E4755DF-1091-4C52-BE56-5204A35DF5CA}" name="A1 - Airfare Amount for Obligation" dataDxfId="342">
      <calculatedColumnFormula>IF(ISBLANK('FY2023 MEDEVAC Tracker'!$BD8), 0, BD8-'FY2023 MEDEVAC Tracker'!$AI8)</calculatedColumnFormula>
    </tableColumn>
    <tableColumn id="59" xr3:uid="{15A42EE4-6F00-46BC-B0AC-C65FB4177703}" name="A1 - Per Diem Amount for Obligation" dataDxfId="341">
      <calculatedColumnFormula>MAX(0,IF(ISBLANK(AO8), 0, (((AV8*AW8)+(AX8*AY8)+(AZ8*BA8)+(BB8*BC8)+BE8+BF8)-AM8)))</calculatedColumnFormula>
    </tableColumn>
    <tableColumn id="60" xr3:uid="{82C83086-20E9-4CB3-AF0B-84FA31F16E46}" name="A1 - New Obligation Total" dataDxfId="340">
      <calculatedColumnFormula>IF(ISBLANK('FY2023 MEDEVAC Tracker'!$AO8), 0, SUM(AN8,BG8,BH8))</calculatedColumnFormula>
    </tableColumn>
    <tableColumn id="61" xr3:uid="{69563C12-04A5-4363-AA6D-175C18667194}" name="E1 - Extension End Date" dataDxfId="339"/>
    <tableColumn id="62" xr3:uid="{8820745F-BE36-4B87-AFA7-F7467FECD7C5}" name="E1 - Extension Funding Cable In Date" dataDxfId="338"/>
    <tableColumn id="63" xr3:uid="{ACB2C08C-6655-4544-9F7E-B713DC6DE491}" name="E1 - Extension Funding Cable Out Date" dataDxfId="337"/>
    <tableColumn id="64" xr3:uid="{14C4A12F-E3AA-4400-982F-7C1FE6CFBC87}" name="E1 - BD Employee" dataDxfId="336"/>
    <tableColumn id="65" xr3:uid="{1AF32ECA-68B4-4DB6-810A-E5E09E7EEDFF}" name="E1 - Employee Response Time" dataDxfId="335">
      <calculatedColumnFormula>IF(OR(ISBLANK('FY2023 MEDEVAC Tracker'!$BK8), ISBLANK('FY2023 MEDEVAC Tracker'!$BL8)), "N/A",'FY2023 MEDEVAC Tracker'!$BL8-'FY2023 MEDEVAC Tracker'!$BK8)</calculatedColumnFormula>
    </tableColumn>
    <tableColumn id="66" xr3:uid="{6DFD457F-1C31-4C0F-A19D-31261002B300}" name="E1 - MEDEVAC Location" dataDxfId="334"/>
    <tableColumn id="67" xr3:uid="{E2A29D11-B9F1-4FB5-8D88-3CC994499F2F}" name="E1 - 1st Per Diem Rate (Lodging + M&amp;IE)" dataDxfId="333"/>
    <tableColumn id="68" xr3:uid="{AD325176-E230-45D5-9580-7966B4D3F605}" name="E1 - # of Days At 1st Per Diem Rate" dataDxfId="332"/>
    <tableColumn id="69" xr3:uid="{37FCE64D-BAE7-49B7-A735-6C557DAA7875}" name="E1 - 2nd Per Diem Rate (Lodging + M&amp;IE)" dataDxfId="331"/>
    <tableColumn id="70" xr3:uid="{7A8AF466-0C78-4A97-9CB2-33C4EABE3526}" name="E1 - # of Days At 2nd Per Diem Rate" dataDxfId="330"/>
    <tableColumn id="71" xr3:uid="{4EDDB3CD-03B2-432D-AB35-73EECEF92F33}" name="E1 - 3rd Per Diem Rate (Lodging + M&amp;IE)" dataDxfId="329"/>
    <tableColumn id="72" xr3:uid="{259A485F-E95B-4CAE-B3D2-7D98C063865B}" name="E1 - # of Days At 3rd Per Diem Rate" dataDxfId="328"/>
    <tableColumn id="73" xr3:uid="{7C49CA18-B7F4-4D6F-897F-B455AAC6A9B2}" name="4th Per Diem Rate (Lodging + M&amp;IE)" dataDxfId="327"/>
    <tableColumn id="74" xr3:uid="{65A44772-E6DF-41B2-9B23-DA6D0696C4D6}" name="E1 - # of Days At 4th Per Diem Rate" dataDxfId="326"/>
    <tableColumn id="75" xr3:uid="{707A4C8B-8F17-4F80-9A9E-E434C65EE1B5}" name="E1 - Airfare" dataDxfId="325"/>
    <tableColumn id="76" xr3:uid="{3945CB93-85DA-4668-8955-856C1A021253}" name="E1 - Total Per Diem Additional Travelers" dataDxfId="324"/>
    <tableColumn id="77" xr3:uid="{5BC2B6A0-71C1-4E9E-B465-01BBFE6CBD24}" name="E1 - Additional Per Diem Amount" dataDxfId="323">
      <calculatedColumnFormula>((BP8*BQ8)+(BR8*BS8)+(BT8*BU8)+(BV8*BW8))+BY8</calculatedColumnFormula>
    </tableColumn>
    <tableColumn id="78" xr3:uid="{0CD6E606-4896-44A1-A12C-4680F7118675}" name="E1 - Extension Funding Total" dataDxfId="322">
      <calculatedColumnFormula>BZ8+BX8</calculatedColumnFormula>
    </tableColumn>
    <tableColumn id="79" xr3:uid="{6314C7FB-7093-4310-B019-6ADDC779FC92}" name="E2 - Extension End Date" dataDxfId="321"/>
    <tableColumn id="80" xr3:uid="{05DB0A03-FE60-4A91-AB65-4B60AE228EE8}" name="E2 - Extension Funding Cable In Date" dataDxfId="320"/>
    <tableColumn id="81" xr3:uid="{F1BE68CB-C37B-4273-8044-635DAEAD006A}" name="E2 - Extension Funding Cable Out Date" dataDxfId="319"/>
    <tableColumn id="82" xr3:uid="{16FED6F1-E387-40C2-BAE3-9579A8A34EAC}" name="E2 - BD Employee" dataDxfId="318"/>
    <tableColumn id="83" xr3:uid="{7597AFD3-9197-4F9E-9AD0-17B2EFF8AD0D}" name="E2 - Employee Response Time" dataDxfId="317">
      <calculatedColumnFormula>IF(OR(ISBLANK('FY2023 MEDEVAC Tracker'!$CC8), ISBLANK('FY2023 MEDEVAC Tracker'!$CD8)), "N/A",'FY2023 MEDEVAC Tracker'!$CD8-'FY2023 MEDEVAC Tracker'!$CC8)</calculatedColumnFormula>
    </tableColumn>
    <tableColumn id="84" xr3:uid="{CA829D67-3C78-4064-A5AA-E6DD585AC667}" name="E2 MEDEVAC Location" dataDxfId="316"/>
    <tableColumn id="85" xr3:uid="{9EA75834-010A-4AFC-BE6F-87DAF12034E1}" name="E2 - 1st Per Diem Rate (Lodging + M&amp;IE)" dataDxfId="315"/>
    <tableColumn id="86" xr3:uid="{4E7B696C-89D7-4B36-BBAB-6C972973D79A}" name="E2 - # of Days At 1st Per Diem Rate" dataDxfId="314"/>
    <tableColumn id="87" xr3:uid="{BDE71E37-4A2D-4CAF-8E9B-F78C6C6162A4}" name="E2 - 2nd Per Diem Rate (Lodging + M&amp;IE)" dataDxfId="313"/>
    <tableColumn id="88" xr3:uid="{D2B44E9D-B7BF-427B-BC31-2B31C385ABB1}" name="E2 - # of Days At E2 - 2nd Per Diem Rate" dataDxfId="312"/>
    <tableColumn id="89" xr3:uid="{D6AB010F-E3EF-4E95-973F-5ED6C413B64C}" name="3rd Per Diem Rate (Lodging + M&amp;IE)" dataDxfId="311"/>
    <tableColumn id="90" xr3:uid="{97EBD7AA-82C2-4A1C-92CB-9481210D7B5F}" name="E2 - # of Days At 3rd Per Diem Rate" dataDxfId="310"/>
    <tableColumn id="91" xr3:uid="{12A43E38-A35B-4B96-B54F-110FA8CAF8DE}" name="E2 - 4th Per Diem Rate (Lodging + M&amp;IE)" dataDxfId="309"/>
    <tableColumn id="92" xr3:uid="{535EF5D2-BA7F-4226-A4F6-32B051D5A16B}" name="E2 - # of Days At 4th Per Diem Rate" dataDxfId="308"/>
    <tableColumn id="93" xr3:uid="{37E752B6-3746-4AB6-A558-2850EF841639}" name="E2 - Airfare" dataDxfId="307"/>
    <tableColumn id="94" xr3:uid="{82CC0309-E6E7-410C-8ABE-2F96A10C1D28}" name="E2 - Total Per Diem Additional Travelers" dataDxfId="306"/>
    <tableColumn id="95" xr3:uid="{1DBCBDE9-FAF2-477F-B975-051348FEFC89}" name="E2 - Additional Per Diem Amount" dataDxfId="305">
      <calculatedColumnFormula>((CH8*CI8)+(CJ8*CK8)+(CL8*CM8)+(CN8*CO8))+CQ8</calculatedColumnFormula>
    </tableColumn>
    <tableColumn id="96" xr3:uid="{C99FF2DB-6ADD-457E-88B6-A31D40E6AFFB}" name="E2 - Extension Funding Total" dataDxfId="304">
      <calculatedColumnFormula>CR8+CP8</calculatedColumnFormula>
    </tableColumn>
    <tableColumn id="97" xr3:uid="{4C6A7EE3-C7B7-4007-B574-C0E9B1958148}" name="E3 - Extension End Date" dataDxfId="303"/>
    <tableColumn id="98" xr3:uid="{279C2B89-7EBA-4ED5-BD28-1DDFFD8B1534}" name="E3 - Extension Funding Cable In Date" dataDxfId="302"/>
    <tableColumn id="99" xr3:uid="{E09763FE-7E17-4889-859C-8BF74DE31A82}" name="E3 - Extension Funding Cable Out Date" dataDxfId="301"/>
    <tableColumn id="100" xr3:uid="{30FB5740-56C9-4B0B-8208-453FB8D65855}" name="E3 - BD Employee" dataDxfId="300"/>
    <tableColumn id="101" xr3:uid="{B90D9632-9980-4AA3-AB32-69C680982F08}" name="E3 - Employee Response Time" dataDxfId="299">
      <calculatedColumnFormula>IF(OR(ISBLANK('FY2023 MEDEVAC Tracker'!$CU8), ISBLANK('FY2023 MEDEVAC Tracker'!$CV8)), "N/A",'FY2023 MEDEVAC Tracker'!$CV8-'FY2023 MEDEVAC Tracker'!$CU8)</calculatedColumnFormula>
    </tableColumn>
    <tableColumn id="102" xr3:uid="{499E9786-3A60-4F1C-8455-819742D50BB0}" name="E3 - MEDEVAC Location" dataDxfId="298"/>
    <tableColumn id="103" xr3:uid="{7E46E9AB-727C-4399-BDF4-D8F42CF3F7B3}" name="E3 - 1st Per Diem Rate (Lodging + M&amp;IE)" dataDxfId="297"/>
    <tableColumn id="104" xr3:uid="{5D131273-4DF0-43AE-8BBA-4E20EC7FBC6F}" name="E3 - # of Days At 1st Per Diem Rate" dataDxfId="296"/>
    <tableColumn id="105" xr3:uid="{32C42E71-0ED5-46FA-9DCF-24D250CB1C30}" name="E3 - 2nd Per Diem Rate (Lodging + M&amp;IE)" dataDxfId="295"/>
    <tableColumn id="106" xr3:uid="{FBB3281D-B069-425E-BA20-6E5BF2C38709}" name="E3 - # of Days At E3 - 2nd Per Diem Rate" dataDxfId="294"/>
    <tableColumn id="107" xr3:uid="{1408BB39-FEB2-4B9C-BB2D-315D9A482BFC}" name="E3 - 3rd Per Diem Rate (Lodging + M&amp;IE)" dataDxfId="293"/>
    <tableColumn id="108" xr3:uid="{54D2B35E-1308-46AD-AF7F-F4D41E52AA58}" name="E3 - # of Days At 3rd Per Diem Rate" dataDxfId="292"/>
    <tableColumn id="109" xr3:uid="{C750EFCA-FFB3-4306-BBFC-236A0243B04C}" name="E3 - 4th Per Diem Rate (Lodging + M&amp;IE)" dataDxfId="291"/>
    <tableColumn id="110" xr3:uid="{3CD50F18-64FF-4477-A624-B46B8780E819}" name="E3 - # of Days At 4th Per Diem Rate" dataDxfId="290"/>
    <tableColumn id="111" xr3:uid="{F167708D-0DA4-4593-AB09-93F103DF10C4}" name="E3 - Airfare" dataDxfId="289"/>
    <tableColumn id="112" xr3:uid="{636C5348-9DE9-4363-BBD3-9AF5A5CAE061}" name="E3 - Total Per Diem E3 - Additional Travelers" dataDxfId="288"/>
    <tableColumn id="113" xr3:uid="{F5F99CEA-223E-4BB0-B3FB-50CE5938F739}" name="E3 - Additional Per Diem Amount" dataDxfId="287">
      <calculatedColumnFormula>((CZ8*DA8)+(DB8*DC8)+(DD8*DE8)+(DF8*DG8))+DI8</calculatedColumnFormula>
    </tableColumn>
    <tableColumn id="114" xr3:uid="{BE0D051E-A678-40BF-A364-F5BA93F6F657}" name="E3 - Extension Funding Total" dataDxfId="286">
      <calculatedColumnFormula>DJ8+DH8</calculatedColumnFormula>
    </tableColumn>
    <tableColumn id="115" xr3:uid="{5CEE8A20-719C-466D-B209-34D5121DE084}" name="E4 - Extension End Date" dataDxfId="285"/>
    <tableColumn id="116" xr3:uid="{01E8C888-4E63-424B-B77A-8B5FB437FFEA}" name="E4 - Extension Funding Cable In Date" dataDxfId="284"/>
    <tableColumn id="117" xr3:uid="{B62B7D2E-4440-4F81-BEDA-7A129EB25DF8}" name="E4 - Extension Funding Cable Out Date" dataDxfId="283"/>
    <tableColumn id="118" xr3:uid="{C6D8E876-E7F6-4247-BF64-707F0B1E5866}" name="E4 - BD Employee" dataDxfId="282"/>
    <tableColumn id="119" xr3:uid="{25F4E952-BC4F-4CB8-9108-2F4378D46451}" name="E4 - Employee Response Time" dataDxfId="281">
      <calculatedColumnFormula>IF(OR(ISBLANK('FY2023 MEDEVAC Tracker'!$DM8), ISBLANK('FY2023 MEDEVAC Tracker'!$DN8)), "N/A",'FY2023 MEDEVAC Tracker'!$DN8-'FY2023 MEDEVAC Tracker'!$DM8)</calculatedColumnFormula>
    </tableColumn>
    <tableColumn id="120" xr3:uid="{D473673E-70E7-46CE-9EB8-DD630586547E}" name="E4 - MEDEVAC Location" dataDxfId="280"/>
    <tableColumn id="121" xr3:uid="{D0FFB59E-91A0-420B-83FE-79F5F681AB7F}" name="1st Per Diem Rate (Lodging + M&amp;IE)" dataDxfId="279"/>
    <tableColumn id="122" xr3:uid="{33B6CD2A-0E44-48C6-A298-AD06538F03CA}" name="E4 - # of Days At 1st Per Diem Rate" dataDxfId="278"/>
    <tableColumn id="123" xr3:uid="{9D5C96B2-B8C7-4697-B595-8EA92C348D00}" name="E4 - 2nd Per Diem Rate (Lodging + M&amp;IE)" dataDxfId="277"/>
    <tableColumn id="124" xr3:uid="{BEFFE5A0-4C1D-4E73-8C48-E313FFC39426}" name="E4 - # of Days At E4 - 2nd Per Diem Rate" dataDxfId="276"/>
    <tableColumn id="125" xr3:uid="{231AB770-3726-43AC-ADAE-5F20777302BA}" name="E4 - 3rd Per Diem Rate (Lodging + M&amp;IE)" dataDxfId="275"/>
    <tableColumn id="126" xr3:uid="{E71BDA6C-90CC-4F9A-8120-6A57627706C7}" name="E4 - # of Days At 3rd Per Diem Rate" dataDxfId="274"/>
    <tableColumn id="127" xr3:uid="{87AA6564-99A7-421E-B218-F63AB383D72F}" name="E4 - 4th Per Diem Rate (Lodging + M&amp;IE)" dataDxfId="273"/>
    <tableColumn id="128" xr3:uid="{F11160D9-E78E-47C6-AAC0-0F309E5C66B4}" name="E4 - # of Days At 4th Per Diem Rate" dataDxfId="272"/>
    <tableColumn id="129" xr3:uid="{ADE7B9D5-A300-4041-B6D6-A7E74841F502}" name="E4 - Airfare" dataDxfId="271"/>
    <tableColumn id="130" xr3:uid="{F7BC8F31-EF38-4357-9F10-90DEBBBB8CB8}" name="E4 - Total Per Diem Additional Travelers" dataDxfId="270"/>
    <tableColumn id="131" xr3:uid="{481F3F1C-2077-4912-87F4-F5E744CE5FB7}" name="E4 - Additional Per Diem Amount" dataDxfId="269">
      <calculatedColumnFormula>((DR8*DS8)+(DT8*DU8)+(DV8*DW8)+(DX8*DY8))+EA8</calculatedColumnFormula>
    </tableColumn>
    <tableColumn id="132" xr3:uid="{3D4E9B97-1B38-4136-B1A8-03AB237A1426}" name="E4 - Extension Funding Total" dataDxfId="268">
      <calculatedColumnFormula>EB8+DZ8</calculatedColumnFormula>
    </tableColumn>
    <tableColumn id="133" xr3:uid="{5DDF2E2F-83C4-4C94-9F62-8DF06D6DB251}" name="E5 - Extension End Date" dataDxfId="267"/>
    <tableColumn id="134" xr3:uid="{FAED7A60-56FB-4E98-8EFA-2BDD1F978ED4}" name="E5 - Extension Funding Cable In Date" dataDxfId="266"/>
    <tableColumn id="135" xr3:uid="{E01AC8E1-4746-4FAE-A14B-F85E0F60F1B6}" name="E5 - Extension Funding Cable Out Date" dataDxfId="265"/>
    <tableColumn id="136" xr3:uid="{A57573AD-F1FA-4C50-94E2-712603833707}" name="E5 - BD Employee" dataDxfId="264"/>
    <tableColumn id="137" xr3:uid="{A2E35557-EA33-4DD2-BED0-C079D5E8AFAE}" name="E5 - Employee Response Time" dataDxfId="263">
      <calculatedColumnFormula>IF(OR(ISBLANK('FY2023 MEDEVAC Tracker'!$EE8), ISBLANK('FY2023 MEDEVAC Tracker'!$EF8)), "N/A",'FY2023 MEDEVAC Tracker'!$EF8-'FY2023 MEDEVAC Tracker'!$EE8)</calculatedColumnFormula>
    </tableColumn>
    <tableColumn id="138" xr3:uid="{1B893A83-5B7B-4DB7-80E0-972C93042816}" name="E5 - MEDEVAC Location" dataDxfId="262"/>
    <tableColumn id="139" xr3:uid="{F3D86FED-2AAF-4546-AD58-8523B171C028}" name="E5 - 1st Per Diem Rate (Lodging + M&amp;IE)" dataDxfId="261"/>
    <tableColumn id="140" xr3:uid="{5BA2378B-BB99-4BA2-B03B-3C05B0D038B3}" name="E5 - # of Days At 1st Per Diem Rate" dataDxfId="260"/>
    <tableColumn id="141" xr3:uid="{173E5BFB-E8C8-4DD4-B468-8937C56CBD60}" name="E5 - 2nd Per Diem Rate (Lodging + M&amp;IE)" dataDxfId="259"/>
    <tableColumn id="142" xr3:uid="{3A3012AE-B96B-4D28-B5A7-64ECA90239B0}" name="E5 - # of Days At E5 - 2nd Per Diem Rate" dataDxfId="258"/>
    <tableColumn id="143" xr3:uid="{7FB52E4B-4540-47FA-8B8A-EF8D1A8BF2FB}" name="E5 - 3rd Per Diem Rate (Lodging + M&amp;IE)" dataDxfId="257"/>
    <tableColumn id="144" xr3:uid="{856D4F2D-71DE-4551-B73D-277C1DFD3C4C}" name="E5 - # of Days At 3rd Per Diem Rate" dataDxfId="256"/>
    <tableColumn id="145" xr3:uid="{1347779E-163F-4627-BF49-C21E93A6DB5E}" name="E5 -4th Per Diem Rate (Lodging + M&amp;IE)" dataDxfId="255"/>
    <tableColumn id="146" xr3:uid="{73D8D66C-A4E9-4DD4-8A69-51861EDE124B}" name="E5 - # of Days At 4th Per Diem Rate" dataDxfId="254"/>
    <tableColumn id="147" xr3:uid="{AB1DD030-989B-4A99-9A7F-2AD14E17EFB6}" name="E5 - Airfare" dataDxfId="253"/>
    <tableColumn id="148" xr3:uid="{3CC1F23A-88BB-4EDE-A4CB-9FA95C0282F3}" name="E5 - Total Per Diem Additional Travelers" dataDxfId="252"/>
    <tableColumn id="149" xr3:uid="{2264C8F7-6B82-4C05-895C-B8090D9A54E7}" name="E5 - Additional Per Diem Amount" dataDxfId="251">
      <calculatedColumnFormula>((EJ8*EK8)+(EL8*EM8)+(EN8*EO8)+(EP8*EQ8))+ES8</calculatedColumnFormula>
    </tableColumn>
    <tableColumn id="150" xr3:uid="{DCE3F7D1-7C06-405C-AF25-4316C0735C51}" name="E5 - Extension Funding Total" dataDxfId="250">
      <calculatedColumnFormula>ET8+ER8</calculatedColumnFormula>
    </tableColumn>
    <tableColumn id="151" xr3:uid="{FA08B447-D7C7-4E9E-8807-F9990849E64B}" name="E6 - Extension End Date" dataDxfId="249"/>
    <tableColumn id="152" xr3:uid="{D340E44E-B74A-4698-8D13-BD6A29AC6849}" name="E6 - Extension Funding Cable In Date" dataDxfId="248"/>
    <tableColumn id="153" xr3:uid="{99A5D494-1195-4E42-9F16-5FBF828D2A49}" name="E6 - Extension Funding Cable Out Date" dataDxfId="247"/>
    <tableColumn id="154" xr3:uid="{5D74243D-19FA-4B9B-A9AA-BE84C811ED7B}" name="E6 - BD Employee" dataDxfId="246"/>
    <tableColumn id="155" xr3:uid="{E35A86B5-F74F-4D03-A117-C603E03FBF95}" name="E6 - Employee Response Time" dataDxfId="245">
      <calculatedColumnFormula>IF(OR(ISBLANK('FY2023 MEDEVAC Tracker'!$EE8), ISBLANK('FY2023 MEDEVAC Tracker'!$EF8)), "N/A",'FY2023 MEDEVAC Tracker'!$EF8-'FY2023 MEDEVAC Tracker'!$EE8)</calculatedColumnFormula>
    </tableColumn>
    <tableColumn id="156" xr3:uid="{1CA51864-EA97-4BB0-B20E-3C1F615348E4}" name="E6 - MEDEVAC Location" dataDxfId="244"/>
    <tableColumn id="157" xr3:uid="{E0AE7A08-94DA-49C5-91F7-5F04C67B1E0D}" name="E6 - 1st Per Diem Rate (Lodging + M&amp;IE)" dataDxfId="243"/>
    <tableColumn id="158" xr3:uid="{A047E13F-968F-4381-8AAF-D1939CBC1C9B}" name="E6 - # of Days At 1st Per Diem Rate" dataDxfId="242"/>
    <tableColumn id="159" xr3:uid="{4B4B56BE-964D-443E-80B0-4A3E6D9A7F56}" name="E6 - 2nd Per Diem Rate (Lodging + M&amp;IE)" dataDxfId="241"/>
    <tableColumn id="160" xr3:uid="{6092697B-4E52-46A7-8C23-A1DFE67D0071}" name="E6 - # of Days At E6 - 2nd Per Diem Rate" dataDxfId="240"/>
    <tableColumn id="161" xr3:uid="{C6ED6D41-1E60-469A-9D8D-7259058425BA}" name="E6 - 3rd Per Diem Rate (Lodging + M&amp;IE)" dataDxfId="239"/>
    <tableColumn id="162" xr3:uid="{7E757EF7-382B-4C1A-BD84-8EF4FE8A609C}" name="E6 - # of Days At 3rd Per Diem Rate" dataDxfId="238"/>
    <tableColumn id="163" xr3:uid="{41EF8A58-AEA9-4D7D-95A9-709A84A1CF6C}" name="E6 -4th Per Diem Rate (Lodging + M&amp;IE)" dataDxfId="237"/>
    <tableColumn id="164" xr3:uid="{3665C928-69ED-42B2-814E-8C7056E057B8}" name="E6 - # of Days At 4th Per Diem Rate" dataDxfId="236"/>
    <tableColumn id="165" xr3:uid="{767E7656-7615-4C2A-8492-AC5B2C1774E3}" name="E6 - Airfare" dataDxfId="235"/>
    <tableColumn id="166" xr3:uid="{BDE09AAC-E525-4146-AE04-B6E1EFF4DDDE}" name="E6 - Total Per Diem Additional Travelers" dataDxfId="234"/>
    <tableColumn id="167" xr3:uid="{71CBDEFA-A7A5-4AE0-88CD-1E7340BB02B4}" name="E6 - Additional Per Diem Amount" dataDxfId="233">
      <calculatedColumnFormula>((FT8*FU8)+(FV8*FW8)+(FF8*FG8)+(FH8*FI8))+FK8</calculatedColumnFormula>
    </tableColumn>
    <tableColumn id="168" xr3:uid="{4D472C02-C39B-43A9-BD4F-AB9673B2A165}" name="E6 - Extension Funding Total" dataDxfId="232">
      <calculatedColumnFormula>FL8+FJ8</calculatedColumnFormula>
    </tableColumn>
    <tableColumn id="169" xr3:uid="{5583A346-58D2-449A-B426-5DB78E8C1C8C}" name="E7 - Extension End Date" dataDxfId="231"/>
    <tableColumn id="170" xr3:uid="{FAE3AF8B-FA8E-4AD2-84FC-E71FD19C8F70}" name="E7 - Extension Funding Cable In Date" dataDxfId="230"/>
    <tableColumn id="171" xr3:uid="{8477D4B4-82ED-4A9A-9DC0-D5C6E2F1D739}" name="E7 - Extension Funding Cable Out Date" dataDxfId="229"/>
    <tableColumn id="172" xr3:uid="{4DED58CE-0BC1-46EA-9899-D5A822D5B336}" name="E7 - BD Employee" dataDxfId="228"/>
    <tableColumn id="173" xr3:uid="{05E7F77F-163E-4664-A1E0-DB77D1BD3F97}" name="E7 - Employee Response Time" dataDxfId="227">
      <calculatedColumnFormula>IF(OR(ISBLANK('FY2023 MEDEVAC Tracker'!$EE8), ISBLANK('FY2023 MEDEVAC Tracker'!$EF8)), "N/A",'FY2023 MEDEVAC Tracker'!$EF8-'FY2023 MEDEVAC Tracker'!$EE8)</calculatedColumnFormula>
    </tableColumn>
    <tableColumn id="174" xr3:uid="{5D5C4292-E34D-40A5-940B-44EC304C24A1}" name="E7 - MEDEVAC Location" dataDxfId="226"/>
    <tableColumn id="175" xr3:uid="{F12C703D-7D47-4F79-A001-043FFF6D35C4}" name="E7 - 1st Per Diem Rate (Lodging + M&amp;IE)" dataDxfId="225"/>
    <tableColumn id="176" xr3:uid="{52885436-ED9E-4F8E-9CB9-26EE069B68F2}" name="E7 - # of Days At 1st Per Diem Rate" dataDxfId="224"/>
    <tableColumn id="177" xr3:uid="{D302028A-83E4-445F-866A-42CB475A558A}" name="E7 - 2nd Per Diem Rate (Lodging + M&amp;IE)" dataDxfId="223"/>
    <tableColumn id="178" xr3:uid="{10A06853-EBA4-457E-A708-C19065284A1A}" name="E7 - # of Days At E7 - 2nd Per Diem Rate" dataDxfId="222"/>
    <tableColumn id="179" xr3:uid="{DB751179-76CD-4864-87B3-34687AD35876}" name="E7 - 3rd Per Diem Rate (Lodging + M&amp;IE)" dataDxfId="221"/>
    <tableColumn id="180" xr3:uid="{3DE65953-C852-4F26-9485-E88B95F45EAB}" name="E7 - # of Days At 3rd Per Diem Rate" dataDxfId="220"/>
    <tableColumn id="181" xr3:uid="{35931BF7-1C45-4CAE-AFDA-0BC4C5B930CC}" name="E7 -4th Per Diem Rate (Lodging + M&amp;IE)" dataDxfId="219"/>
    <tableColumn id="182" xr3:uid="{2147ADDF-1BFA-4234-A30A-DC055B97DD05}" name="E7 - # of Days At 4th Per Diem Rate" dataDxfId="218"/>
    <tableColumn id="183" xr3:uid="{CBE101C1-2A49-47B7-B053-D844CC2BFCF1}" name="E7 - Airfare" dataDxfId="217"/>
    <tableColumn id="184" xr3:uid="{1FAB5FA9-FF13-4864-8496-305B59C87D8B}" name="E7 - Total Per Diem Additional Travelers" dataDxfId="216"/>
    <tableColumn id="185" xr3:uid="{5786ACF5-388C-479E-BB44-5B04DF09A218}" name="E7 - Additional Per Diem Amount" dataDxfId="215"/>
    <tableColumn id="186" xr3:uid="{854869B4-3064-4B65-B3D1-7DE02AE25F96}" name="E7 - Extension Funding Total" dataDxfId="214">
      <calculatedColumnFormula>GD8+GB8</calculatedColumnFormula>
    </tableColumn>
    <tableColumn id="187" xr3:uid="{902FCC32-C234-4EF5-84DC-D0BAE9117B0B}" name="E8 - Extension End Date" dataDxfId="213"/>
    <tableColumn id="188" xr3:uid="{6C763315-067A-4323-9885-2F993EDDF1CC}" name="E8 - Extension Funding Cable In Date" dataDxfId="212"/>
    <tableColumn id="189" xr3:uid="{DDFFBC8D-7E12-4963-A966-C8770AFAD79D}" name="E8 - Extension Funding Cable Out Date" dataDxfId="211"/>
    <tableColumn id="190" xr3:uid="{3C12142C-0027-4105-9FE5-437DB1E3C3B8}" name="E8 - BD Employee" dataDxfId="210"/>
    <tableColumn id="191" xr3:uid="{308606D0-C20E-4C59-A469-C4CCB6FA5580}" name="E8 - Employee Response Time" dataDxfId="209">
      <calculatedColumnFormula>IF(OR(ISBLANK('FY2023 MEDEVAC Tracker'!$GH8), ISBLANK('FY2023 MEDEVAC Tracker'!$GG8)), "N/A",'FY2023 MEDEVAC Tracker'!$GG8-'FY2023 MEDEVAC Tracker'!$GH8)</calculatedColumnFormula>
    </tableColumn>
    <tableColumn id="192" xr3:uid="{DEE3B671-0158-4FD3-A6E0-ECF5550DA861}" name="E8 - MEDEVAC Location" dataDxfId="208"/>
    <tableColumn id="193" xr3:uid="{81B3C478-F29A-47CA-918D-AA2429EF23CE}" name="E8 - 1st Per Diem Rate (Lodging + M&amp;IE)" dataDxfId="207"/>
    <tableColumn id="194" xr3:uid="{C3FC44FB-3364-48FC-9E2C-7ECF5A0676F0}" name="E8 - # of Days At 1st Per Diem Rate" dataDxfId="206"/>
    <tableColumn id="195" xr3:uid="{43D0A9B9-1429-4DBE-8D09-93C8D9B2A2AE}" name="E8 - 2nd Per Diem Rate (Lodging + M&amp;IE)" dataDxfId="205"/>
    <tableColumn id="196" xr3:uid="{C5BCE323-3D44-46C9-AC58-F9B758FC9946}" name="E8 - # of Days At E8 - 2nd Per Diem Rate" dataDxfId="204"/>
    <tableColumn id="197" xr3:uid="{F6A87F29-52E0-473F-A1C8-7784959DFEF9}" name="E8 - 3rd Per Diem Rate (Lodging + M&amp;IE)" dataDxfId="203"/>
    <tableColumn id="198" xr3:uid="{18912CB9-DDE5-44E1-95EE-F25D1F3AF5C4}" name="E8 - # of Days At 3rd Per Diem Rate" dataDxfId="202"/>
    <tableColumn id="199" xr3:uid="{BD3B4F5F-B924-4E23-82A9-BAA26D10BE32}" name="E8 -4th Per Diem Rate (Lodging + M&amp;IE)" dataDxfId="201"/>
    <tableColumn id="200" xr3:uid="{084304FC-CF1D-4F50-A9F1-B7EC2D2F12E0}" name="E8 - # of Days At 4th Per Diem Rate" dataDxfId="200"/>
    <tableColumn id="201" xr3:uid="{62E7F120-60CB-4A03-B9A9-8B6C4178DDB3}" name="E8 - Airfare" dataDxfId="199"/>
    <tableColumn id="202" xr3:uid="{AE3E8EB1-D438-4D82-B4E0-72E11672EED2}" name="E8 - Total Per Diem Additional Travelers" dataDxfId="198"/>
    <tableColumn id="203" xr3:uid="{824DC311-A904-4E93-A15B-594177DF4299}" name="E8 - Additional Per Diem Amount" dataDxfId="197">
      <calculatedColumnFormula>((GL8*GM8)+(GN8*GO8)+(GP8*GQ8)+(GR8*GS8))+GU8</calculatedColumnFormula>
    </tableColumn>
    <tableColumn id="204" xr3:uid="{4C842B94-FCF4-4522-96D8-AFDCBA1B7672}" name="E8 - Extension Funding Total" dataDxfId="196">
      <calculatedColumnFormula>GV8+GT8</calculatedColumnFormula>
    </tableColumn>
    <tableColumn id="205" xr3:uid="{1A54A512-2947-4692-8537-F2C497DE86ED}" name="E9 - Extension End Date" dataDxfId="195"/>
    <tableColumn id="206" xr3:uid="{47E2C0E3-912C-44B4-B568-50029B9C45EE}" name="E9 - Extension Funding Cable In Date" dataDxfId="194"/>
    <tableColumn id="207" xr3:uid="{883CD2A4-D859-4D71-9F61-294C60B4781B}" name="E9 - Extension Funding Cable Out Date" dataDxfId="193"/>
    <tableColumn id="208" xr3:uid="{3655F710-6ED3-4B59-A1B5-02ACFBF7DEEA}" name="E9 - BD Employee" dataDxfId="192"/>
    <tableColumn id="209" xr3:uid="{DE3A2575-7C28-400B-879A-AA26D35635D5}" name="E9 - Employee Response Time" dataDxfId="191">
      <calculatedColumnFormula>IF(OR(ISBLANK('FY2023 MEDEVAC Tracker'!$GY8), ISBLANK('FY2023 MEDEVAC Tracker'!$GZ8)), "N/A",'FY2023 MEDEVAC Tracker'!#REF!-'FY2023 MEDEVAC Tracker'!#REF!)</calculatedColumnFormula>
    </tableColumn>
    <tableColumn id="210" xr3:uid="{8D6896F5-983C-4F18-8C62-21A658F0663F}" name="E9 - MEDEVAC Location" dataDxfId="190"/>
    <tableColumn id="211" xr3:uid="{B5D96DFD-EF5E-460D-A71E-54AABC57C742}" name="E9 - 1st Per Diem Rate (Lodging + M&amp;IE)" dataDxfId="189"/>
    <tableColumn id="212" xr3:uid="{74CEA663-0AB8-4253-8D1B-7DADFB4D3573}" name="E9 - # of Days At 1st Per Diem Rate" dataDxfId="188"/>
    <tableColumn id="213" xr3:uid="{9D8141D0-C6C1-4054-907C-D618D072C838}" name="E9 - 2nd Per Diem Rate (Lodging + M&amp;IE)" dataDxfId="187"/>
    <tableColumn id="214" xr3:uid="{10CD86BB-4B00-4AA9-99BB-ECF4849CA6B0}" name="E9 - # of Days At E9 - 2nd Per Diem Rate" dataDxfId="186"/>
    <tableColumn id="215" xr3:uid="{7E1D6688-FB73-4F27-94AD-E2DF9A6FF38D}" name="E9 - 3rd Per Diem Rate (Lodging + M&amp;IE)" dataDxfId="185"/>
    <tableColumn id="216" xr3:uid="{AFE10465-6F5B-43D7-ADA8-C6A971DF0313}" name="E9 - # of Days At 3rd Per Diem Rate" dataDxfId="184"/>
    <tableColumn id="217" xr3:uid="{4A1A53B5-EF91-4488-9882-7294C3C67774}" name="E9 -4th Per Diem Rate (Lodging + M&amp;IE)" dataDxfId="183"/>
    <tableColumn id="218" xr3:uid="{4F0F15EA-8450-4FDD-ADF0-75678FE76D0D}" name="E9 - # of Days At 4th Per Diem Rate" dataDxfId="182"/>
    <tableColumn id="219" xr3:uid="{CF3E0E8D-E6B2-48F1-B85A-C1D5B3E81C66}" name="E9 - Airfare" dataDxfId="181"/>
    <tableColumn id="220" xr3:uid="{3A5A40D5-EA6B-421E-9225-D61F9B5403DA}" name="E9 - Total Per Diem Additional Travelers" dataDxfId="180"/>
    <tableColumn id="221" xr3:uid="{99AAC053-B729-4E6C-B5AE-025176C42C53}" name="E9 - Additional Per Diem Amount" dataDxfId="179"/>
    <tableColumn id="222" xr3:uid="{9A20296B-BBC8-470C-B136-A1EA6C537CD3}" name="E9 - Extension Funding Total" dataDxfId="178"/>
    <tableColumn id="223" xr3:uid="{3EC9208A-6F2D-4FC8-9A30-DC7815CA5407}" name="E10 - Extension End Date" dataDxfId="177"/>
    <tableColumn id="224" xr3:uid="{3322B436-96E6-4E43-B69E-C838D17E454C}" name="E10 - Extension Funding Cable In Date" dataDxfId="176"/>
    <tableColumn id="225" xr3:uid="{6E16232F-4686-40BC-BF74-1A7935CDBEC0}" name="E10 - Extension Funding Cable Out Date" dataDxfId="175"/>
    <tableColumn id="226" xr3:uid="{9F3C62A1-E6A1-430A-835A-34FC146111FE}" name="E10 - BD Employee" dataDxfId="174"/>
    <tableColumn id="227" xr3:uid="{10B250E1-1F99-4789-A2D0-3D6C9AC43E5F}" name="E10 - Employee Response Time" dataDxfId="173"/>
    <tableColumn id="228" xr3:uid="{A1D2333A-5792-40DE-9F3E-73E3A87496CB}" name="E10 - MEDEVAC Location" dataDxfId="172"/>
    <tableColumn id="229" xr3:uid="{7090AA98-D720-4B4F-BA96-30B67F67A15A}" name="E10 - 1st Per Diem Rate (Lodging + M&amp;IE)" dataDxfId="171"/>
    <tableColumn id="230" xr3:uid="{7EC96761-C552-41DC-A228-CB0829FCC8C6}" name="E10 - # of Days At 1st Per Diem Rate" dataDxfId="170"/>
    <tableColumn id="231" xr3:uid="{4CAAD631-E821-424B-9695-3DAF9DEF3607}" name="E10 - 2nd Per Diem Rate (Lodging + M&amp;IE)" dataDxfId="169"/>
    <tableColumn id="232" xr3:uid="{F99E287F-6A20-4893-B733-0AC66D6AEFA7}" name="E10 - # of Days At E10 - 2nd Per Diem Rate" dataDxfId="168"/>
    <tableColumn id="233" xr3:uid="{FEA2DBAE-2F1A-49F5-BB01-B7F035B9AEE4}" name="E10 - 3rd Per Diem Rate (Lodging + M&amp;IE)" dataDxfId="167"/>
    <tableColumn id="234" xr3:uid="{DE923BFD-723C-436A-8C56-BCB4DE0B1EF1}" name="E10 - # of Days At 3rd Per Diem Rate" dataDxfId="166"/>
    <tableColumn id="235" xr3:uid="{CC0B8CE8-855C-4F7F-AEB9-0997352BD598}" name="E10 -4th Per Diem Rate (Lodging + M&amp;IE)" dataDxfId="165"/>
    <tableColumn id="236" xr3:uid="{E9CB3167-7DE4-4543-A369-2E492047FDF5}" name="E10 - # of Days At 4th Per Diem Rate" dataDxfId="164"/>
    <tableColumn id="237" xr3:uid="{E0E5F47E-0611-4868-B5A3-CF059EC78F1B}" name="E10 - Airfare" dataDxfId="163"/>
    <tableColumn id="238" xr3:uid="{C12B328A-3EE6-4C3B-BE16-92927FF0E696}" name="E10 - Total Per Diem Additional Travelers" dataDxfId="162"/>
    <tableColumn id="239" xr3:uid="{CE2FCF7F-7445-4F9F-A861-E2E819DF3985}" name="E10 - Additional Per Diem Amount" dataDxfId="161"/>
    <tableColumn id="240" xr3:uid="{3EE66A31-58BF-4B69-86DA-0CCDBC5DBE64}" name="E10 - Extension Funding Total" dataDxfId="160"/>
    <tableColumn id="241" xr3:uid="{8C80F0DF-A536-43DC-BB35-DCF154E75E3C}" name="Completion Status" dataDxfId="159"/>
    <tableColumn id="242" xr3:uid="{93E2365E-32EF-4E7F-957A-4E3FB0B1728F}" name="Date of Final Accounting" dataDxfId="158"/>
    <tableColumn id="243" xr3:uid="{E78667D6-C767-406C-90FF-2467786AF357}" name="Actual Start Date" dataDxfId="157">
      <calculatedColumnFormula>IF(ISBLANK('FY2023 MEDEVAC Tracker'!$AO8), 'FY2023 MEDEVAC Tracker'!$H8, 'FY2023 MEDEVAC Tracker'!$AO8)</calculatedColumnFormula>
    </tableColumn>
    <tableColumn id="244" xr3:uid="{F359EFC0-9C3D-4930-8926-DF1B1AA83C4D}" name="Actual End Date" dataDxfId="156">
      <calculatedColumnFormula>MAX('FY2023 MEDEVAC Tracker'!$HP8, 'FY2023 MEDEVAC Tracker'!$GX8, 'FY2023 MEDEVAC Tracker'!$GF8, 'FY2023 MEDEVAC Tracker'!$FN8, 'FY2023 MEDEVAC Tracker'!$EV8, 'FY2023 MEDEVAC Tracker'!$ED8, 'FY2023 MEDEVAC Tracker'!$DL8, 'FY2023 MEDEVAC Tracker'!$CT8, 'FY2023 MEDEVAC Tracker'!$CB8, 'FY2023 MEDEVAC Tracker'!$BJ8, 'FY2023 MEDEVAC Tracker'!$AP8, 'FY2023 MEDEVAC Tracker'!$I8)</calculatedColumnFormula>
    </tableColumn>
    <tableColumn id="245" xr3:uid="{EEB92BEF-238E-4AE9-9E81-F482E69D16A8}" name="Airfare Approved" dataDxfId="155"/>
    <tableColumn id="246" xr3:uid="{919B7188-2230-4C9A-AE5E-975C6720E24F}" name="Per Diem Approved" dataDxfId="154"/>
    <tableColumn id="247" xr3:uid="{B659086E-613F-4E77-8011-FD62AF36182C}" name="Closed Amount" dataDxfId="153">
      <calculatedColumnFormula>IM8+IL8</calculatedColumnFormula>
    </tableColumn>
    <tableColumn id="248" xr3:uid="{A1608C55-8D7D-469C-BC8D-AB941298B4FA}" name="Amount for Deobligation" dataDxfId="152">
      <calculatedColumnFormula>G8-IN8</calculatedColumnFormula>
    </tableColumn>
    <tableColumn id="249" xr3:uid="{C2AE19BC-9494-4CBB-96A1-996535E157F1}" name="Comments"/>
    <tableColumn id="250" xr3:uid="{56FA96D7-3B7D-4DEE-A9B2-5983D53925E3}" name="Date to send Request for Final Accounting (F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6A5E23-4870-4AD2-902D-AA21704D84F5}" name="Table13" displayName="Table13" ref="B2:DW4" totalsRowShown="0" headerRowDxfId="151" dataDxfId="150" tableBorderDxfId="149">
  <autoFilter ref="B2:DW4" xr:uid="{366A5E23-4870-4AD2-902D-AA21704D84F5}"/>
  <tableColumns count="126">
    <tableColumn id="1" xr3:uid="{02051DD1-752E-44D4-AB67-7F78C2A65935}" name="Obligation Number" dataDxfId="148"/>
    <tableColumn id="2" xr3:uid="{4FA87CA3-02BB-4404-976B-31D081835CF5}" name="Additional Traveler Name" dataDxfId="147"/>
    <tableColumn id="3" xr3:uid="{823DA80E-D136-489D-B925-3009052BD7D0}" name="Total Obligation" dataDxfId="146"/>
    <tableColumn id="4" xr3:uid="{873BF140-4A4C-4D2D-B05E-62766BDC2176}" name="Additional Traveler Type" dataDxfId="145"/>
    <tableColumn id="5" xr3:uid="{6FFD7937-A47D-46B5-8EFF-AFD562199005}" name="Patient Name" dataDxfId="144"/>
    <tableColumn id="6" xr3:uid="{52316A78-4475-48F1-B2A9-90D796CCA9DB}" name="Employee Name or Status" dataDxfId="143"/>
    <tableColumn id="7" xr3:uid="{9EC17DF8-9EA2-4C51-8060-6AE097AE467C}" name="Percent Authorized Per Diem" dataDxfId="142"/>
    <tableColumn id="8" xr3:uid="{C942E1A8-0A40-4856-A24F-6E7C80D1081A}" name="1st Per Diem Rate" dataDxfId="141"/>
    <tableColumn id="9" xr3:uid="{3891CD5C-75E1-4ABD-BA13-DDDD8087EF5B}" name="# of Days at" dataDxfId="140"/>
    <tableColumn id="10" xr3:uid="{6CA1F3D4-A981-4667-A893-4413823FA810}" name="2nd Per Diem Rate" dataDxfId="139"/>
    <tableColumn id="11" xr3:uid="{11EDBF15-60E6-4428-8647-14726ED4B1A5}" name="# of Days at2" dataDxfId="138"/>
    <tableColumn id="12" xr3:uid="{177658D4-B6A6-463F-BC0F-8AE68A32650F}" name="3rd Per Diem Rate" dataDxfId="137"/>
    <tableColumn id="13" xr3:uid="{326D371A-8C1E-44D6-8FD6-2D4CB33196C5}" name="# of Days at3" dataDxfId="136"/>
    <tableColumn id="14" xr3:uid="{820E3419-D6AA-4323-9308-56955C077F47}" name="4th Per Diem Rate" dataDxfId="135"/>
    <tableColumn id="15" xr3:uid="{8D8F431F-9DC7-4487-8F65-F00402288B1E}" name="# of Days at4" dataDxfId="134"/>
    <tableColumn id="16" xr3:uid="{1F70065E-C761-430B-A836-3D8A67EFD804}" name="Total Per Diem" dataDxfId="133"/>
    <tableColumn id="17" xr3:uid="{4C0C1816-9D52-4C90-A5E3-653297B7F736}" name="A1 Percent Authorized Per Diem" dataDxfId="132"/>
    <tableColumn id="18" xr3:uid="{06285039-E148-4FE2-A864-A825955F9A73}" name="A1 - 1st Per Diem Rate (Lodging + M&amp;IE)" dataDxfId="131"/>
    <tableColumn id="19" xr3:uid="{4F84786C-A26A-490E-823B-04517A9A5111}" name="A1 - # of Days AT 1st Per Diem Rate" dataDxfId="130"/>
    <tableColumn id="20" xr3:uid="{AACB0D3E-4A81-46D0-8E6D-0A626F713EC1}" name="A1 - 2nd Per Diem Rate (Lodging + M&amp;IE)" dataDxfId="129"/>
    <tableColumn id="21" xr3:uid="{C109615D-5F09-4E4A-B4D3-9EBE73581C67}" name="A1 - # of Days AT 2nd Per Diem Rate" dataDxfId="128"/>
    <tableColumn id="22" xr3:uid="{D3C94C38-FDE7-4B4A-BB6C-B78614D94942}" name="A1 - 3rd Per Diem Rate (Lodging + M&amp;IE)" dataDxfId="127"/>
    <tableColumn id="23" xr3:uid="{07B87A01-807B-4F4E-9BA6-90927B1481DC}" name="A1 - # of Days AT 3rd Per Diem Rate" dataDxfId="126"/>
    <tableColumn id="24" xr3:uid="{34F0609F-D597-4775-A85F-39F9CC2DE9FA}" name="A1 - 4thPer Diem Rate (Lodging + M&amp;IE)" dataDxfId="125"/>
    <tableColumn id="25" xr3:uid="{9D343CBB-7C1C-465D-A3F4-21DBD3C00E17}" name="A1 - # of Days AT 4thPer Diem Rate" dataDxfId="124"/>
    <tableColumn id="26" xr3:uid="{53BB4A7C-51A5-4CB9-B2E9-BD83D877817B}" name="A1 - PER DIEM AMOUNT FOR OBLIGATION" dataDxfId="123"/>
    <tableColumn id="27" xr3:uid="{DE18650E-FD30-4677-A915-2332DC31ECFB}" name="E1 - Percent Authorized Per Diem" dataDxfId="122"/>
    <tableColumn id="28" xr3:uid="{934EDDB3-DD78-43DB-961A-7DEE3A4708BF}" name="E1 - 1st Per Diem Rate (Lodging + M&amp;IE)" dataDxfId="121"/>
    <tableColumn id="29" xr3:uid="{EFE4B802-FCEB-4402-95FA-CC7D50DAA637}" name="E1 - # of Days AT 1st Per Diem Rate" dataDxfId="120"/>
    <tableColumn id="30" xr3:uid="{85227C81-B2C3-4802-9839-D60BE610FBCC}" name="E1 - 2nd Per Diem Rate (Lodging + M&amp;IE)" dataDxfId="119"/>
    <tableColumn id="31" xr3:uid="{3C6C2CE5-17E6-4905-95DA-813F678D08F3}" name="E1 - # of Days AT 2nd Per Diem Rate" dataDxfId="118"/>
    <tableColumn id="32" xr3:uid="{62AEDA42-C55F-426B-B970-901D018F34F5}" name="E1 - 3rd Per Diem Rate (Lodging + M&amp;IE)" dataDxfId="117"/>
    <tableColumn id="33" xr3:uid="{50E1FCEC-75EA-40B1-BC2B-C77950D1DC5A}" name="E1 - # of Days AT 3rd Per Diem Rate" dataDxfId="116"/>
    <tableColumn id="34" xr3:uid="{CF5A896C-1357-4DB6-B7BE-4247F2A565AC}" name="E1 - 4thPer Diem Rate (Lodging + M&amp;IE)" dataDxfId="115"/>
    <tableColumn id="35" xr3:uid="{7B94C4B7-82E1-4891-9EF5-559D5DA8703B}" name="E1 - # of Days AT 4thPer Diem Rate" dataDxfId="114"/>
    <tableColumn id="36" xr3:uid="{A46CDB02-0134-4D53-8A88-1F52B82AAF5A}" name="E1 - Additional Per Diem Amount" dataDxfId="113"/>
    <tableColumn id="37" xr3:uid="{F1A57C9D-29D2-4B58-A31B-8E6071F2FF85}" name="E2 - Percent Authorized Per Diem" dataDxfId="112"/>
    <tableColumn id="38" xr3:uid="{6999B71F-A9BF-4930-9CF0-42D2A339FF0D}" name="E2 - 1st Per Diem Rate (Lodging + M&amp;IE)2" dataDxfId="111"/>
    <tableColumn id="39" xr3:uid="{09DC6AC4-76E2-460A-8BBB-937DBAE388E3}" name="E2 - # of Days AT 1st Per Diem Rate" dataDxfId="110"/>
    <tableColumn id="40" xr3:uid="{6C45A585-A0C3-479F-BAC1-18E98C74F825}" name="E2 - 2nd Per Diem Rate (Lodging + M&amp;IE)" dataDxfId="109"/>
    <tableColumn id="41" xr3:uid="{5080F489-504D-4F71-969D-31B05DB25660}" name="E2 - # of Days AT 2nd Per Diem Rate" dataDxfId="108"/>
    <tableColumn id="42" xr3:uid="{992135E8-6821-4382-B61C-C4F631AE23A4}" name="E2 - 3rd Per Diem Rate (Lodging + M&amp;IE)" dataDxfId="107"/>
    <tableColumn id="43" xr3:uid="{71EC3AFB-0935-4E69-B7E0-51A82FB9F1A1}" name="E2 - # of Days AT 3rd Per Diem Rate" dataDxfId="106"/>
    <tableColumn id="44" xr3:uid="{AE108901-A3E8-4086-ACE4-D7912B925061}" name="E2 - 4thPer Diem Rate (Lodging + M&amp;IE)" dataDxfId="105"/>
    <tableColumn id="45" xr3:uid="{69FC2BBA-9660-4B34-83B1-07662DB8E162}" name="E2 - # of Days AT 4thPer Diem Rate" dataDxfId="104"/>
    <tableColumn id="46" xr3:uid="{0F0958E9-8E8C-45CD-BCD9-638725B7D061}" name="E2 - Additional Per Diem Amount" dataDxfId="103"/>
    <tableColumn id="47" xr3:uid="{AD2EAA24-38D3-4220-98A4-B2CD89E43759}" name="E3 - Percent Authorized Per Diem" dataDxfId="102"/>
    <tableColumn id="48" xr3:uid="{4268B08F-E4C1-44FA-A3A5-CF891395E0CD}" name="E3 - 1st Per Diem Rate (Lodging + M&amp;IE)" dataDxfId="101"/>
    <tableColumn id="49" xr3:uid="{04560910-9001-478E-BC0D-C4E945076245}" name="E3 - # of Days AT 1st Per Diem Rate" dataDxfId="100"/>
    <tableColumn id="50" xr3:uid="{F7F8DAE5-20DF-4EDD-B8C5-D93BF8F2F429}" name="E3 - 2nd Per Diem Rate (Lodging + M&amp;IE)" dataDxfId="99"/>
    <tableColumn id="51" xr3:uid="{F1947A34-19C1-45CF-9192-84A4839EAEFC}" name="E3 - # of Days AT 2nd Per Diem Rate" dataDxfId="98"/>
    <tableColumn id="52" xr3:uid="{148F4D27-55D4-46DA-990C-5C29DCEEDD0C}" name="E3 - 3rd Per Diem Rate (Lodging + M&amp;IE)" dataDxfId="97"/>
    <tableColumn id="53" xr3:uid="{E0CB0D13-E3B6-4FB4-83AE-C6198A94D636}" name="E3 - # of Days AT 3rd Per Diem Rate" dataDxfId="96"/>
    <tableColumn id="54" xr3:uid="{60AFDE89-AB0D-4A54-B216-6129216F9CF7}" name="E3 - 4thPer Diem Rate (Lodging + M&amp;IE)" dataDxfId="95"/>
    <tableColumn id="55" xr3:uid="{34467760-B833-4892-8A99-986D440E3A54}" name="E3 - # of Days AT 4thPer Diem Rate" dataDxfId="94"/>
    <tableColumn id="56" xr3:uid="{E4CB0527-3405-4D29-82D5-B23193AB9608}" name="E3 - Additional Per Diem Amount" dataDxfId="93"/>
    <tableColumn id="57" xr3:uid="{1E7C6F78-C084-4300-81F5-BC89C489D986}" name="E4 - Percent Authorized Per Diem" dataDxfId="92"/>
    <tableColumn id="58" xr3:uid="{76170DEB-C637-4B88-99A8-60457655619A}" name="E4 - 1st Per Diem Rate (Lodging + M&amp;IE)" dataDxfId="91"/>
    <tableColumn id="59" xr3:uid="{2672D832-AC00-4853-9CE0-914BE895702B}" name="E4 - # of Days AT 1st Per Diem Rate" dataDxfId="90"/>
    <tableColumn id="60" xr3:uid="{BF3F2F44-FE1A-4BE2-9B9C-58BE212B4440}" name="E4 - 2nd Per Diem Rate (Lodging + M&amp;IE)" dataDxfId="89"/>
    <tableColumn id="61" xr3:uid="{0076EFD0-992D-4EE0-B0AE-4558CC3F121D}" name="E4 - # of Days AT 2nd Per Diem Rate" dataDxfId="88"/>
    <tableColumn id="62" xr3:uid="{46671BB6-21D9-4C2A-B39F-EEF478078299}" name="E4 - 3rd Per Diem Rate (Lodging + M&amp;IE)" dataDxfId="87"/>
    <tableColumn id="63" xr3:uid="{67240710-57D6-4E0E-AFFB-E7B251527E80}" name="E4 - # of Days AT 3rd Per Diem Rate" dataDxfId="86"/>
    <tableColumn id="64" xr3:uid="{49267008-AA4E-4743-8C17-0987136303D6}" name="E4 - 4thPer Diem Rate (Lodging + M&amp;IE)" dataDxfId="85"/>
    <tableColumn id="65" xr3:uid="{93F42F2B-ED71-4A2A-9A69-950CEF6D27DD}" name="E4 - # of Days AT 4thPer Diem Rate" dataDxfId="84"/>
    <tableColumn id="66" xr3:uid="{B74D606F-693E-4022-A231-83A51E7C34A2}" name="E4 - Additional Per Diem Amount" dataDxfId="83"/>
    <tableColumn id="67" xr3:uid="{69A53158-759A-4FA6-99F7-AB5ED57E10C0}" name="E5 - Percent Authorized Per Diem" dataDxfId="82"/>
    <tableColumn id="68" xr3:uid="{0E30D0F3-9750-4C91-BCA3-542B4CD33A0C}" name="E5 - 1st Per Diem Rate (Lodging + M&amp;IE)" dataDxfId="81"/>
    <tableColumn id="69" xr3:uid="{078BB51F-CF80-4932-8DBD-EC02BADBB129}" name="E5 - # of Days AT 1st Per Diem Rate" dataDxfId="80"/>
    <tableColumn id="70" xr3:uid="{8960074C-3BAB-4955-935C-2515495D9B83}" name="E5 - 2nd Per Diem Rate (Lodging + M&amp;IE)" dataDxfId="79"/>
    <tableColumn id="71" xr3:uid="{15A8D161-0552-4F55-BEB4-B07E118BD6EC}" name="E5 - # of Days AT 2nd Per Diem Rate" dataDxfId="78"/>
    <tableColumn id="72" xr3:uid="{8F6B11AF-5FE0-4E02-BCEA-34989E1296E5}" name="E5 - 3rd Per Diem Rate (Lodging + M&amp;IE)" dataDxfId="77"/>
    <tableColumn id="73" xr3:uid="{8D4D6859-BF6B-429F-9D0E-BCFFA9C8C0F2}" name="E5 - # of Days AT 3rd Per Diem Rate" dataDxfId="76"/>
    <tableColumn id="74" xr3:uid="{793D91A0-8FA8-4EAB-B072-CA5E1E4DFC96}" name="E5 - 4thPer Diem Rate (Lodging + M&amp;IE)" dataDxfId="75"/>
    <tableColumn id="75" xr3:uid="{4D0E760A-3C5A-4299-9889-43EC4D18DA83}" name="E5 - # of Days AT 4th Per Diem Rate" dataDxfId="74"/>
    <tableColumn id="76" xr3:uid="{F4D36D16-9B68-4990-BBF2-46A8DCC6E2DA}" name="E5 - Additional Per Diem Amount" dataDxfId="73"/>
    <tableColumn id="77" xr3:uid="{D222DA87-F400-4B01-93D3-8A75A09EFC20}" name="E6 - Percent Authorized Per Diem" dataDxfId="72"/>
    <tableColumn id="78" xr3:uid="{E230E57E-39AF-4E21-8511-12C1CF93F803}" name="E6 - 1st Per Diem Rate (Lodging + M&amp;IE)" dataDxfId="71"/>
    <tableColumn id="79" xr3:uid="{AAD65122-C6C5-4277-84C5-CDFD27549006}" name="E6 - # of Days AT 1st Per Diem Rate" dataDxfId="70"/>
    <tableColumn id="80" xr3:uid="{B56D427B-2F99-4FEC-A33E-CF552F82CB8A}" name="E6 - 2nd Per Diem Rate (Lodging + M&amp;IE)" dataDxfId="69"/>
    <tableColumn id="81" xr3:uid="{24FECF41-BA40-4583-BB54-BC71250990F8}" name="E6 - # of Days AT 2nd Per Diem Rate" dataDxfId="68"/>
    <tableColumn id="82" xr3:uid="{B5C15E77-C48A-4520-8C94-B159E3F1E7BB}" name="E6 - 3rd Per Diem Rate (Lodging + M&amp;IE)" dataDxfId="67"/>
    <tableColumn id="83" xr3:uid="{C88E24F2-F507-4E07-AF5C-20F75A5D6D2F}" name="E6 - # of Days AT 3rd Per Diem Rate" dataDxfId="66"/>
    <tableColumn id="84" xr3:uid="{0ACABFC0-C7AA-427E-96FD-62FBCC8C520B}" name="E6 - 4thPer Diem Rate (Lodging + M&amp;IE)" dataDxfId="65"/>
    <tableColumn id="85" xr3:uid="{3E5A7A03-C584-4BFD-95CD-4939B1225390}" name="E6 - # of Days AT 4th Per Diem Rate" dataDxfId="64"/>
    <tableColumn id="86" xr3:uid="{6D9E9F9E-B843-41EB-946D-E5279D0D9417}" name="E6 - Additional Per Diem Amount" dataDxfId="63"/>
    <tableColumn id="87" xr3:uid="{518B7A42-7658-4B2E-8AFF-A4305510E01B}" name="E7 - Percent Authorized Per Diem" dataDxfId="62"/>
    <tableColumn id="88" xr3:uid="{0D3B0F51-620B-4740-A0F6-800632FF69C6}" name="E7 - 1st Per Diem Rate (Lodging + M&amp;IE)" dataDxfId="61"/>
    <tableColumn id="89" xr3:uid="{E6913F55-D3D6-4293-AD6B-63905A208653}" name="E7 - # of Days AT 1st Per Diem Rate" dataDxfId="60"/>
    <tableColumn id="90" xr3:uid="{F5DDD8A3-B0D9-470E-87BF-F66BEB8CDBF8}" name="E7 - 2nd Per Diem Rate (Lodging + M&amp;IE)" dataDxfId="59"/>
    <tableColumn id="91" xr3:uid="{24A97242-F4D4-4A98-A249-96DEF0747C62}" name="E7 - # of Days AT 2nd Per Diem Rate" dataDxfId="58"/>
    <tableColumn id="92" xr3:uid="{0149C284-3B56-4C18-BC40-59034707BEA2}" name="E7 - 3rd Per Diem Rate (Lodging + M&amp;IE)" dataDxfId="57"/>
    <tableColumn id="93" xr3:uid="{CF407569-5135-489B-BCDF-F6F3B69A1488}" name="E7 - # of Days AT 3rd Per Diem Rate" dataDxfId="56"/>
    <tableColumn id="94" xr3:uid="{8F0BAD63-9CF0-4371-9F6D-9B5E22AFF36F}" name="E7 - 4thPer Diem Rate (Lodging + M&amp;IE)" dataDxfId="55"/>
    <tableColumn id="95" xr3:uid="{82368E62-89DD-4772-8EC1-896CA6927963}" name="E7 - # of Days AT 4th Per Diem Rate" dataDxfId="54"/>
    <tableColumn id="96" xr3:uid="{7562573A-4CEC-45BE-866B-071FE28A5BCD}" name="E7 - Additional Per Diem Amount" dataDxfId="53"/>
    <tableColumn id="97" xr3:uid="{A8A19D65-F46B-412B-B6F5-9BDFCBD1F583}" name="E8 - Percent Authorized Per Diem" dataDxfId="52"/>
    <tableColumn id="98" xr3:uid="{89CD35BE-9369-41CE-9302-22B0C8E4CBAB}" name="E8 - 1st Per Diem Rate (Lodging + M&amp;IE)" dataDxfId="51"/>
    <tableColumn id="99" xr3:uid="{21AAC21C-38BB-44FC-B891-DFEDEC34D755}" name="E8 - # of Days AT 1st Per Diem Rate" dataDxfId="50"/>
    <tableColumn id="100" xr3:uid="{3077485B-ACB7-4450-A583-C84B9D65C68C}" name="E8 - 2nd Per Diem Rate (Lodging + M&amp;IE)" dataDxfId="49"/>
    <tableColumn id="101" xr3:uid="{18FCEE98-BBA3-4B5E-8E7C-F76D025FA05D}" name="E8 - # of Days AT 2nd Per Diem Rate" dataDxfId="48"/>
    <tableColumn id="102" xr3:uid="{2B26C22E-4B33-4292-9922-C7F51530B466}" name="E8 - 3rd Per Diem Rate (Lodging + M&amp;IE)" dataDxfId="47"/>
    <tableColumn id="103" xr3:uid="{47932BE9-B9A3-41FD-A256-47E7B3820A01}" name="E8 - # of Days AT 3rd Per Diem Rate" dataDxfId="46"/>
    <tableColumn id="104" xr3:uid="{6C8F2E65-EC74-43E6-BDFF-7BEB08CAAE8A}" name="E8 - 4thPer Diem Rate (Lodging + M&amp;IE)" dataDxfId="45"/>
    <tableColumn id="105" xr3:uid="{BB194C7A-77FE-4B5C-9A77-F7025AA5F659}" name="E8 - # of Days AT 4th Per Diem Rate" dataDxfId="44"/>
    <tableColumn id="106" xr3:uid="{DE095B15-C17A-4484-99FA-5D7B6CB9C202}" name="E8 - Additional Per Diem Amount" dataDxfId="43"/>
    <tableColumn id="107" xr3:uid="{F3662350-085A-428F-9608-2405E101592D}" name="E9 - Percent Authorized Per Diem" dataDxfId="42"/>
    <tableColumn id="108" xr3:uid="{5F99DEE2-B03A-48DF-9761-D4606E075F5D}" name="E9 - 1st Per Diem Rate (Lodging + M&amp;IE)" dataDxfId="41"/>
    <tableColumn id="109" xr3:uid="{FFA5401A-2490-40C9-A3DA-7E039C6348D6}" name="E9 - # of Days AT 1st Per Diem Rate" dataDxfId="40"/>
    <tableColumn id="110" xr3:uid="{23FAB6F8-ABCC-41A4-B858-27977B3DB809}" name="E9 - 2nd Per Diem Rate (Lodging + M&amp;IE)" dataDxfId="39"/>
    <tableColumn id="111" xr3:uid="{C3715741-8762-4AA7-8BFA-6143D28CF7B1}" name="E9 - # of Days AT 2nd Per Diem Rate" dataDxfId="38"/>
    <tableColumn id="112" xr3:uid="{8D7505CE-E755-4AD2-8213-B26446ADDF18}" name="E9 - 3rd Per Diem Rate (Lodging + M&amp;IE)" dataDxfId="37"/>
    <tableColumn id="113" xr3:uid="{ED94D98A-B0E2-4530-9B7F-5DFD44E59CB3}" name="E9 - # of Days AT 3rd Per Diem Rate" dataDxfId="36"/>
    <tableColumn id="114" xr3:uid="{EB7D2E65-5CE9-426A-A586-315CE3ACF510}" name="E9 - 4thPer Diem Rate (Lodging + M&amp;IE)" dataDxfId="35"/>
    <tableColumn id="115" xr3:uid="{20DECD2E-92AA-45B7-AC89-2B8D312E4026}" name="E9 - # of Days AT 4th Per Diem Rate" dataDxfId="34"/>
    <tableColumn id="116" xr3:uid="{A4C9FA7A-28F6-461D-9509-CDE18D106AA4}" name="E9 - Additional Per Diem Amount" dataDxfId="33"/>
    <tableColumn id="117" xr3:uid="{265F4ED9-FA36-498E-89FB-CE8B56277850}" name="E10 - Percent Authorized Per Diem" dataDxfId="32"/>
    <tableColumn id="118" xr3:uid="{A57656FE-7B20-4AFE-98BE-D788FF8867D5}" name="E10 - 1st Per Diem Rate (Lodging + M&amp;IE)" dataDxfId="31"/>
    <tableColumn id="119" xr3:uid="{D81E6AAC-68D9-4C00-9C56-041895C3FA5D}" name="E10 - # of Days AT 1st Per Diem Rate" dataDxfId="30"/>
    <tableColumn id="120" xr3:uid="{41C0C508-27DE-4F24-9714-8615A916C33B}" name="E10 - 2nd Per Diem Rate (Lodging + M&amp;IE)" dataDxfId="29"/>
    <tableColumn id="121" xr3:uid="{29792322-9A1C-408C-8C6F-F03FB66AC3D1}" name="E10 - # of Days AT 2nd Per Diem Rate" dataDxfId="28"/>
    <tableColumn id="122" xr3:uid="{8CFBB194-3AA0-4309-B8CF-47B84E6E0EA1}" name="E10 - 3rd Per Diem Rate (Lodging + M&amp;IE)" dataDxfId="27"/>
    <tableColumn id="123" xr3:uid="{CEDFCA16-9C31-4FE2-8100-D76C83D961A5}" name="E10 - # of Days AT 3rd Per Diem Rate" dataDxfId="26"/>
    <tableColumn id="124" xr3:uid="{0088B8A8-676C-423D-B659-E0795FA932E7}" name="E10 - 4thPer Diem Rate (Lodging + M&amp;IE)" dataDxfId="25"/>
    <tableColumn id="125" xr3:uid="{61155DB3-B505-4CD7-9E01-38B7A34B4BB1}" name="E10 - # of Days AT 4th Per Diem Rate" dataDxfId="24"/>
    <tableColumn id="126" xr3:uid="{3E970657-CF15-487C-B02D-72D111C4A93D}" name="E10 - Additional Per Diem Amount"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FDA1F-096C-4CE4-9E0B-0138BC4D4D88}" name="Table1" displayName="Table1" ref="B2:B11" totalsRowShown="0" headerRowDxfId="22" dataDxfId="21">
  <autoFilter ref="B2:B11" xr:uid="{ABEFDA1F-096C-4CE4-9E0B-0138BC4D4D88}"/>
  <tableColumns count="1">
    <tableColumn id="1" xr3:uid="{A2E5BC3A-9CF8-4200-AEA1-486066432657}" name="MEDEVAC Type"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8D9C4F-B31C-4DE9-8D81-26DE8E7CD2C9}" name="Table2" displayName="Table2" ref="D2:D4" totalsRowShown="0" headerRowDxfId="19" tableBorderDxfId="18">
  <autoFilter ref="D2:D4" xr:uid="{C98D9C4F-B31C-4DE9-8D81-26DE8E7CD2C9}"/>
  <tableColumns count="1">
    <tableColumn id="1" xr3:uid="{44DE8511-A4B2-4E31-A7CF-EC3B1A775975}" name="BUD EMP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A4AE0E-95D0-4AF2-83ED-C5B86ECFD70B}" name="Table3" displayName="Table3" ref="D7:D13" totalsRowShown="0" headerRowDxfId="17" dataDxfId="16">
  <autoFilter ref="D7:D13" xr:uid="{C8A4AE0E-95D0-4AF2-83ED-C5B86ECFD70B}"/>
  <tableColumns count="1">
    <tableColumn id="1" xr3:uid="{667E0682-D31E-4236-9700-436C4ADAD5A7}" name="Cable Type" dataDxf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5C14C0-3637-465E-B989-9087403EE776}" name="Table4" displayName="Table4" ref="F1:H1048576" totalsRowShown="0" headerRowDxfId="14" headerRowBorderDxfId="13" tableBorderDxfId="12">
  <autoFilter ref="F1:H1048576" xr:uid="{B15C14C0-3637-465E-B989-9087403EE776}"/>
  <tableColumns count="3">
    <tableColumn id="1" xr3:uid="{99C0F9F1-D8A8-40C7-BC48-D44E597CFA3D}" name="CITY/POST"/>
    <tableColumn id="2" xr3:uid="{4ECD2D16-0D28-4F90-97CC-A5B0C3849843}" name="COUNTRY "/>
    <tableColumn id="3" xr3:uid="{D62C4D7D-8D2E-4948-8BFD-8FA7F07F4574}" name="BUREAU"/>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29E282-7AC1-4702-8773-51790A09DD18}" name="Table5" displayName="Table5" ref="L4:L10" totalsRowShown="0" headerRowDxfId="11" dataDxfId="10">
  <autoFilter ref="L4:L10" xr:uid="{2029E282-7AC1-4702-8773-51790A09DD18}"/>
  <tableColumns count="1">
    <tableColumn id="1" xr3:uid="{F65585E0-9E52-4C0E-8986-ADE5DC4B5410}" name="Completion Status" dataDxfId="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37907-FD29-423E-93EC-87C1E3D92312}" name="Table6" displayName="Table6" ref="L19:L23" totalsRowShown="0" headerRowDxfId="8">
  <autoFilter ref="L19:L23" xr:uid="{FC637907-FD29-423E-93EC-87C1E3D92312}"/>
  <tableColumns count="1">
    <tableColumn id="1" xr3:uid="{FE006555-BACC-449C-A76F-FA3799590BBE}" name="Additional Typ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1D81ED-F22B-4B1E-B04D-2191A53C5BB8}" name="Table7" displayName="Table7" ref="M8:M10" totalsRowShown="0" headerRowDxfId="7">
  <autoFilter ref="M8:M10" xr:uid="{F11D81ED-F22B-4B1E-B04D-2191A53C5BB8}"/>
  <tableColumns count="1">
    <tableColumn id="1" xr3:uid="{C5FB55EE-C919-4D0C-B1C6-24212EDD2B0A}" name="AA Typ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D63993-612F-46E2-B6F6-EE009DC3F2AA}" name="Table8" displayName="Table8" ref="M14:M17" totalsRowShown="0" headerRowDxfId="6">
  <autoFilter ref="M14:M17" xr:uid="{BAD63993-612F-46E2-B6F6-EE009DC3F2AA}"/>
  <tableColumns count="1">
    <tableColumn id="1" xr3:uid="{6F2A5FD6-7EED-4106-B44D-C86ACFEFD20E}" name="MSG, DOS, or Seabe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7B84FA-BD7B-4FE2-9E13-0126DDF68003}" name="Table9" displayName="Table9" ref="O2:O9" totalsRowShown="0" headerRowDxfId="5" dataDxfId="4">
  <autoFilter ref="O2:O9" xr:uid="{0D7B84FA-BD7B-4FE2-9E13-0126DDF68003}"/>
  <tableColumns count="1">
    <tableColumn id="1" xr3:uid="{EE0C3D4C-2E4F-4156-A3F0-E2653CD86A9C}" name="Vendor" dataDxfId="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14FA9E-5151-4DA8-9429-4A066AE7A339}" name="Table10" displayName="Table10" ref="P2:P13" totalsRowShown="0" headerRowDxfId="2" dataDxfId="1">
  <autoFilter ref="P2:P13" xr:uid="{5714FA9E-5151-4DA8-9429-4A066AE7A339}"/>
  <tableColumns count="1">
    <tableColumn id="1" xr3:uid="{14F6592D-D298-493B-8FDA-C9F313CE8700}" name="Agenc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35C2-253D-4F43-BDC9-F27DB116C816}">
  <dimension ref="A1:K17"/>
  <sheetViews>
    <sheetView tabSelected="1" topLeftCell="A2" workbookViewId="0">
      <selection activeCell="Q12" sqref="Q12"/>
    </sheetView>
  </sheetViews>
  <sheetFormatPr defaultRowHeight="15" x14ac:dyDescent="0.25"/>
  <sheetData>
    <row r="1" spans="1:11" ht="15.75" thickBot="1" x14ac:dyDescent="0.3">
      <c r="A1" s="1"/>
      <c r="B1" s="1"/>
      <c r="C1" s="1"/>
      <c r="D1" s="1"/>
      <c r="E1" s="1"/>
      <c r="F1" s="1"/>
      <c r="G1" s="1"/>
      <c r="H1" s="1"/>
      <c r="I1" s="1"/>
      <c r="J1" s="1"/>
      <c r="K1" s="1"/>
    </row>
    <row r="2" spans="1:11" ht="43.15" customHeight="1" x14ac:dyDescent="0.25">
      <c r="A2" s="1"/>
      <c r="B2" s="128" t="s">
        <v>0</v>
      </c>
      <c r="C2" s="129"/>
      <c r="D2" s="129"/>
      <c r="E2" s="129"/>
      <c r="F2" s="129"/>
      <c r="G2" s="129"/>
      <c r="H2" s="129"/>
      <c r="I2" s="129"/>
      <c r="J2" s="129"/>
      <c r="K2" s="129"/>
    </row>
    <row r="3" spans="1:11" x14ac:dyDescent="0.25">
      <c r="A3" s="1"/>
      <c r="B3" s="126"/>
      <c r="C3" s="127"/>
      <c r="D3" s="127"/>
      <c r="E3" s="127"/>
      <c r="F3" s="127"/>
      <c r="G3" s="127"/>
      <c r="H3" s="127"/>
      <c r="I3" s="127"/>
      <c r="J3" s="127"/>
      <c r="K3" s="127"/>
    </row>
    <row r="4" spans="1:11" ht="57.6" customHeight="1" x14ac:dyDescent="0.25">
      <c r="A4" s="1"/>
      <c r="B4" s="130" t="s">
        <v>1</v>
      </c>
      <c r="C4" s="131"/>
      <c r="D4" s="131"/>
      <c r="E4" s="131"/>
      <c r="F4" s="131"/>
      <c r="G4" s="131"/>
      <c r="H4" s="131"/>
      <c r="I4" s="131"/>
      <c r="J4" s="131"/>
      <c r="K4" s="131"/>
    </row>
    <row r="5" spans="1:11" x14ac:dyDescent="0.25">
      <c r="A5" s="1"/>
      <c r="B5" s="126"/>
      <c r="C5" s="127"/>
      <c r="D5" s="127"/>
      <c r="E5" s="127"/>
      <c r="F5" s="127"/>
      <c r="G5" s="127"/>
      <c r="H5" s="127"/>
      <c r="I5" s="127"/>
      <c r="J5" s="127"/>
      <c r="K5" s="127"/>
    </row>
    <row r="6" spans="1:11" ht="28.9" customHeight="1" x14ac:dyDescent="0.25">
      <c r="A6" s="1"/>
      <c r="B6" s="130" t="s">
        <v>2</v>
      </c>
      <c r="C6" s="131"/>
      <c r="D6" s="131"/>
      <c r="E6" s="131"/>
      <c r="F6" s="131"/>
      <c r="G6" s="131"/>
      <c r="H6" s="131"/>
      <c r="I6" s="131"/>
      <c r="J6" s="131"/>
      <c r="K6" s="131"/>
    </row>
    <row r="7" spans="1:11" x14ac:dyDescent="0.25">
      <c r="A7" s="1"/>
      <c r="B7" s="126"/>
      <c r="C7" s="127"/>
      <c r="D7" s="127"/>
      <c r="E7" s="127"/>
      <c r="F7" s="127"/>
      <c r="G7" s="127"/>
      <c r="H7" s="127"/>
      <c r="I7" s="127"/>
      <c r="J7" s="127"/>
      <c r="K7" s="127"/>
    </row>
    <row r="8" spans="1:11" ht="28.9" customHeight="1" x14ac:dyDescent="0.25">
      <c r="A8" s="1"/>
      <c r="B8" s="130" t="s">
        <v>3</v>
      </c>
      <c r="C8" s="131"/>
      <c r="D8" s="131"/>
      <c r="E8" s="131"/>
      <c r="F8" s="131"/>
      <c r="G8" s="131"/>
      <c r="H8" s="131"/>
      <c r="I8" s="131"/>
      <c r="J8" s="131"/>
      <c r="K8" s="131"/>
    </row>
    <row r="9" spans="1:11" x14ac:dyDescent="0.25">
      <c r="A9" s="1"/>
      <c r="B9" s="126"/>
      <c r="C9" s="127"/>
      <c r="D9" s="127"/>
      <c r="E9" s="127"/>
      <c r="F9" s="127"/>
      <c r="G9" s="127"/>
      <c r="H9" s="127"/>
      <c r="I9" s="127"/>
      <c r="J9" s="127"/>
      <c r="K9" s="127"/>
    </row>
    <row r="10" spans="1:11" ht="28.9" customHeight="1" x14ac:dyDescent="0.25">
      <c r="A10" s="1"/>
      <c r="B10" s="130" t="s">
        <v>4</v>
      </c>
      <c r="C10" s="131"/>
      <c r="D10" s="131"/>
      <c r="E10" s="131"/>
      <c r="F10" s="131"/>
      <c r="G10" s="131"/>
      <c r="H10" s="131"/>
      <c r="I10" s="131"/>
      <c r="J10" s="131"/>
      <c r="K10" s="131"/>
    </row>
    <row r="11" spans="1:11" x14ac:dyDescent="0.25">
      <c r="A11" s="1"/>
      <c r="B11" s="126"/>
      <c r="C11" s="127"/>
      <c r="D11" s="127"/>
      <c r="E11" s="127"/>
      <c r="F11" s="127"/>
      <c r="G11" s="127"/>
      <c r="H11" s="127"/>
      <c r="I11" s="127"/>
      <c r="J11" s="127"/>
      <c r="K11" s="127"/>
    </row>
    <row r="12" spans="1:11" ht="14.45" customHeight="1" x14ac:dyDescent="0.25">
      <c r="A12" s="1"/>
      <c r="B12" s="130" t="s">
        <v>5</v>
      </c>
      <c r="C12" s="131"/>
      <c r="D12" s="131"/>
      <c r="E12" s="131"/>
      <c r="F12" s="131"/>
      <c r="G12" s="131"/>
      <c r="H12" s="131"/>
      <c r="I12" s="131"/>
      <c r="J12" s="131"/>
      <c r="K12" s="131"/>
    </row>
    <row r="13" spans="1:11" x14ac:dyDescent="0.25">
      <c r="A13" s="1"/>
      <c r="B13" s="130"/>
      <c r="C13" s="131"/>
      <c r="D13" s="131"/>
      <c r="E13" s="131"/>
      <c r="F13" s="131"/>
      <c r="G13" s="131"/>
      <c r="H13" s="131"/>
      <c r="I13" s="131"/>
      <c r="J13" s="131"/>
      <c r="K13" s="131"/>
    </row>
    <row r="14" spans="1:11" x14ac:dyDescent="0.25">
      <c r="A14" s="1"/>
      <c r="B14" s="130"/>
      <c r="C14" s="131"/>
      <c r="D14" s="131"/>
      <c r="E14" s="131"/>
      <c r="F14" s="131"/>
      <c r="G14" s="131"/>
      <c r="H14" s="131"/>
      <c r="I14" s="131"/>
      <c r="J14" s="131"/>
      <c r="K14" s="131"/>
    </row>
    <row r="15" spans="1:11" ht="14.45" customHeight="1" x14ac:dyDescent="0.25">
      <c r="A15" s="1"/>
      <c r="B15" s="130" t="s">
        <v>6</v>
      </c>
      <c r="C15" s="131"/>
      <c r="D15" s="131"/>
      <c r="E15" s="131"/>
      <c r="F15" s="131"/>
      <c r="G15" s="131"/>
      <c r="H15" s="131"/>
      <c r="I15" s="131"/>
      <c r="J15" s="131"/>
      <c r="K15" s="131"/>
    </row>
    <row r="16" spans="1:11" x14ac:dyDescent="0.25">
      <c r="A16" s="1"/>
      <c r="B16" s="130"/>
      <c r="C16" s="131"/>
      <c r="D16" s="131"/>
      <c r="E16" s="131"/>
      <c r="F16" s="131"/>
      <c r="G16" s="131"/>
      <c r="H16" s="131"/>
      <c r="I16" s="131"/>
      <c r="J16" s="131"/>
      <c r="K16" s="131"/>
    </row>
    <row r="17" spans="1:11" x14ac:dyDescent="0.25">
      <c r="A17" s="1"/>
      <c r="B17" s="130"/>
      <c r="C17" s="131"/>
      <c r="D17" s="131"/>
      <c r="E17" s="131"/>
      <c r="F17" s="131"/>
      <c r="G17" s="131"/>
      <c r="H17" s="131"/>
      <c r="I17" s="131"/>
      <c r="J17" s="131"/>
      <c r="K17" s="131"/>
    </row>
  </sheetData>
  <mergeCells count="16">
    <mergeCell ref="B14:K14"/>
    <mergeCell ref="B15:K15"/>
    <mergeCell ref="B16:K16"/>
    <mergeCell ref="B17:K17"/>
    <mergeCell ref="B8:K8"/>
    <mergeCell ref="B9:K9"/>
    <mergeCell ref="B10:K10"/>
    <mergeCell ref="B11:K11"/>
    <mergeCell ref="B12:K12"/>
    <mergeCell ref="B13:K13"/>
    <mergeCell ref="B7:K7"/>
    <mergeCell ref="B2:K2"/>
    <mergeCell ref="B3:K3"/>
    <mergeCell ref="B4:K4"/>
    <mergeCell ref="B5:K5"/>
    <mergeCell ref="B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388FF-72B1-4187-9F86-60F3A0F903F4}">
  <sheetPr>
    <tabColor theme="9" tint="0.79998168889431442"/>
  </sheetPr>
  <dimension ref="A1:J8"/>
  <sheetViews>
    <sheetView workbookViewId="0">
      <selection activeCell="G4" sqref="G4"/>
    </sheetView>
  </sheetViews>
  <sheetFormatPr defaultRowHeight="15" x14ac:dyDescent="0.25"/>
  <cols>
    <col min="3" max="3" width="8" bestFit="1" customWidth="1"/>
    <col min="4" max="4" width="39" bestFit="1" customWidth="1"/>
    <col min="5" max="5" width="11.28515625" bestFit="1" customWidth="1"/>
    <col min="6" max="6" width="25.7109375" bestFit="1" customWidth="1"/>
    <col min="7" max="7" width="8.140625" bestFit="1" customWidth="1"/>
    <col min="8" max="8" width="11.7109375" bestFit="1" customWidth="1"/>
    <col min="9" max="9" width="27" bestFit="1" customWidth="1"/>
    <col min="10" max="10" width="22.7109375" bestFit="1" customWidth="1"/>
  </cols>
  <sheetData>
    <row r="1" spans="1:10" x14ac:dyDescent="0.25">
      <c r="A1" s="136"/>
      <c r="B1" s="136"/>
      <c r="C1" s="136"/>
      <c r="D1" s="68"/>
      <c r="E1" s="100"/>
      <c r="F1" s="100"/>
      <c r="G1" s="99"/>
      <c r="H1" s="101"/>
      <c r="I1" s="99"/>
      <c r="J1" s="99"/>
    </row>
    <row r="2" spans="1:10" x14ac:dyDescent="0.25">
      <c r="A2" s="136"/>
      <c r="B2" s="138"/>
      <c r="C2" s="102"/>
      <c r="D2" s="139" t="s">
        <v>912</v>
      </c>
      <c r="E2" s="103" t="s">
        <v>913</v>
      </c>
      <c r="F2" s="104" t="s">
        <v>914</v>
      </c>
      <c r="G2" s="105" t="s">
        <v>915</v>
      </c>
      <c r="H2" s="141" t="s">
        <v>916</v>
      </c>
      <c r="I2" s="142"/>
      <c r="J2" s="143"/>
    </row>
    <row r="3" spans="1:10" ht="43.5" x14ac:dyDescent="0.25">
      <c r="A3" s="136"/>
      <c r="B3" s="138"/>
      <c r="C3" s="106" t="s">
        <v>368</v>
      </c>
      <c r="D3" s="140"/>
      <c r="E3" s="107">
        <v>45212</v>
      </c>
      <c r="F3" s="108">
        <v>0.34444444444444444</v>
      </c>
      <c r="G3" s="109" t="s">
        <v>917</v>
      </c>
      <c r="H3" s="110"/>
      <c r="I3" s="111"/>
      <c r="J3" s="111"/>
    </row>
    <row r="4" spans="1:10" ht="15.75" thickBot="1" x14ac:dyDescent="0.3">
      <c r="A4" s="136"/>
      <c r="B4" s="136"/>
      <c r="C4" s="136"/>
      <c r="D4" s="68"/>
      <c r="E4" s="2"/>
      <c r="F4" s="2"/>
      <c r="G4" s="98"/>
      <c r="H4" s="2"/>
      <c r="I4" s="98"/>
      <c r="J4" s="98"/>
    </row>
    <row r="5" spans="1:10" ht="19.5" thickBot="1" x14ac:dyDescent="0.3">
      <c r="A5" s="132"/>
      <c r="B5" s="133"/>
      <c r="C5" s="134" t="s">
        <v>918</v>
      </c>
      <c r="D5" s="135"/>
      <c r="E5" s="135"/>
      <c r="F5" s="135"/>
      <c r="G5" s="135"/>
      <c r="H5" s="135"/>
      <c r="I5" s="135"/>
      <c r="J5" s="135"/>
    </row>
    <row r="6" spans="1:10" ht="47.25" x14ac:dyDescent="0.25">
      <c r="A6" s="112"/>
      <c r="B6" s="112"/>
      <c r="C6" s="113" t="s">
        <v>919</v>
      </c>
      <c r="D6" s="113" t="s">
        <v>920</v>
      </c>
      <c r="E6" s="113" t="s">
        <v>921</v>
      </c>
      <c r="F6" s="113" t="s">
        <v>12</v>
      </c>
      <c r="G6" s="114" t="s">
        <v>915</v>
      </c>
      <c r="H6" s="113" t="s">
        <v>922</v>
      </c>
      <c r="I6" s="114" t="s">
        <v>16</v>
      </c>
      <c r="J6" s="114" t="s">
        <v>386</v>
      </c>
    </row>
    <row r="7" spans="1:10" x14ac:dyDescent="0.25">
      <c r="A7" s="136"/>
      <c r="B7" s="137"/>
      <c r="C7" s="115"/>
      <c r="D7" s="116"/>
      <c r="E7" s="117"/>
      <c r="F7" s="118"/>
      <c r="G7" s="119"/>
      <c r="H7" s="118"/>
      <c r="I7" s="119"/>
      <c r="J7" s="120"/>
    </row>
    <row r="8" spans="1:10" ht="15.75" thickBot="1" x14ac:dyDescent="0.3">
      <c r="A8" s="121"/>
      <c r="B8" s="121"/>
      <c r="C8" s="122"/>
      <c r="D8" s="123"/>
      <c r="E8" s="121"/>
      <c r="F8" s="124" t="s">
        <v>923</v>
      </c>
      <c r="G8" s="124"/>
      <c r="H8" s="124"/>
      <c r="I8" s="124"/>
      <c r="J8" s="125"/>
    </row>
  </sheetData>
  <mergeCells count="9">
    <mergeCell ref="A5:B5"/>
    <mergeCell ref="C5:J5"/>
    <mergeCell ref="A7:B7"/>
    <mergeCell ref="A1:C1"/>
    <mergeCell ref="A2:B2"/>
    <mergeCell ref="D2:D3"/>
    <mergeCell ref="H2:J2"/>
    <mergeCell ref="A3:B3"/>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66337-C5A4-4CDE-A1E9-A12FBB70279E}">
  <sheetPr>
    <tabColor rgb="FF00B050"/>
  </sheetPr>
  <dimension ref="A1:KO12"/>
  <sheetViews>
    <sheetView zoomScale="55" zoomScaleNormal="55" workbookViewId="0">
      <selection activeCell="AK9" sqref="AK9"/>
    </sheetView>
  </sheetViews>
  <sheetFormatPr defaultRowHeight="15" x14ac:dyDescent="0.25"/>
  <cols>
    <col min="2" max="2" width="20.42578125" customWidth="1"/>
    <col min="3" max="3" width="14.7109375" customWidth="1"/>
    <col min="4" max="4" width="20.7109375" customWidth="1"/>
    <col min="5" max="5" width="24" customWidth="1"/>
    <col min="6" max="6" width="28.7109375" bestFit="1" customWidth="1"/>
    <col min="7" max="7" width="18.28515625" customWidth="1"/>
    <col min="8" max="8" width="12.7109375" customWidth="1"/>
    <col min="9" max="9" width="11.7109375" customWidth="1"/>
    <col min="10" max="10" width="19.28515625" customWidth="1"/>
    <col min="11" max="11" width="16.42578125" customWidth="1"/>
    <col min="12" max="12" width="27.140625" customWidth="1"/>
    <col min="13" max="13" width="9.42578125" customWidth="1"/>
    <col min="14" max="14" width="13.140625" customWidth="1"/>
    <col min="15" max="15" width="22.7109375" customWidth="1"/>
    <col min="16" max="16" width="28.42578125" customWidth="1"/>
    <col min="17" max="17" width="25.42578125" customWidth="1"/>
    <col min="18" max="18" width="24.28515625" customWidth="1"/>
    <col min="19" max="19" width="18.7109375" customWidth="1"/>
    <col min="20" max="20" width="17.7109375" customWidth="1"/>
    <col min="21" max="21" width="18.5703125" customWidth="1"/>
    <col min="22" max="22" width="28.7109375" customWidth="1"/>
    <col min="23" max="23" width="23.7109375" customWidth="1"/>
    <col min="24" max="24" width="26.140625" customWidth="1"/>
    <col min="25" max="25" width="15.7109375" customWidth="1"/>
    <col min="26" max="26" width="26.85546875" customWidth="1"/>
    <col min="27" max="27" width="20.140625" customWidth="1"/>
    <col min="28" max="28" width="14.140625" customWidth="1"/>
    <col min="29" max="29" width="20.7109375" customWidth="1"/>
    <col min="30" max="30" width="15.28515625" customWidth="1"/>
    <col min="31" max="31" width="20.42578125" customWidth="1"/>
    <col min="32" max="32" width="15.28515625" customWidth="1"/>
    <col min="33" max="33" width="20.28515625" customWidth="1"/>
    <col min="34" max="34" width="15.28515625" customWidth="1"/>
    <col min="35" max="35" width="12.28515625" bestFit="1" customWidth="1"/>
    <col min="36" max="36" width="25.85546875" customWidth="1"/>
    <col min="37" max="37" width="38.28515625" customWidth="1"/>
    <col min="38" max="39" width="17.28515625" customWidth="1"/>
    <col min="40" max="40" width="21.7109375" customWidth="1"/>
    <col min="41" max="41" width="26.7109375" customWidth="1"/>
    <col min="42" max="42" width="25.5703125" customWidth="1"/>
    <col min="43" max="43" width="40.140625" customWidth="1"/>
    <col min="44" max="44" width="41.85546875" customWidth="1"/>
    <col min="45" max="45" width="20.28515625" customWidth="1"/>
    <col min="46" max="46" width="31.42578125" customWidth="1"/>
    <col min="47" max="47" width="36.7109375" customWidth="1"/>
    <col min="48" max="48" width="42.7109375" customWidth="1"/>
    <col min="49" max="49" width="36.85546875" customWidth="1"/>
    <col min="50" max="50" width="43.28515625" customWidth="1"/>
    <col min="51" max="51" width="37.42578125" customWidth="1"/>
    <col min="52" max="52" width="43.140625" customWidth="1"/>
    <col min="53" max="53" width="37.28515625" customWidth="1"/>
    <col min="54" max="54" width="43" customWidth="1"/>
    <col min="55" max="55" width="37.140625" customWidth="1"/>
    <col min="56" max="56" width="14.28515625" customWidth="1"/>
    <col min="57" max="57" width="41.5703125" customWidth="1"/>
    <col min="58" max="58" width="21.7109375" customWidth="1"/>
    <col min="59" max="59" width="35.85546875" customWidth="1"/>
    <col min="60" max="60" width="37.7109375" customWidth="1"/>
    <col min="61" max="61" width="27.5703125" customWidth="1"/>
    <col min="62" max="62" width="25.85546875" customWidth="1"/>
    <col min="63" max="63" width="38" customWidth="1"/>
    <col min="64" max="64" width="39.7109375" customWidth="1"/>
    <col min="65" max="65" width="20.140625" customWidth="1"/>
    <col min="66" max="66" width="31.28515625" customWidth="1"/>
    <col min="67" max="67" width="27.28515625" customWidth="1"/>
    <col min="68" max="68" width="42.7109375" customWidth="1"/>
    <col min="69" max="69" width="36.7109375" customWidth="1"/>
    <col min="70" max="70" width="43.28515625" customWidth="1"/>
    <col min="71" max="71" width="37.28515625" customWidth="1"/>
    <col min="72" max="72" width="43" customWidth="1"/>
    <col min="73" max="73" width="37.140625" customWidth="1"/>
    <col min="74" max="74" width="38.42578125" customWidth="1"/>
    <col min="75" max="75" width="37" customWidth="1"/>
    <col min="76" max="76" width="14.28515625" customWidth="1"/>
    <col min="77" max="77" width="41.42578125" customWidth="1"/>
    <col min="78" max="78" width="34.140625" customWidth="1"/>
    <col min="79" max="79" width="30" customWidth="1"/>
    <col min="80" max="80" width="25.85546875" customWidth="1"/>
    <col min="81" max="81" width="38" customWidth="1"/>
    <col min="82" max="82" width="39.7109375" customWidth="1"/>
    <col min="83" max="83" width="20.140625" customWidth="1"/>
    <col min="84" max="84" width="31.28515625" customWidth="1"/>
    <col min="85" max="85" width="25.85546875" customWidth="1"/>
    <col min="86" max="86" width="42.7109375" customWidth="1"/>
    <col min="87" max="87" width="36.7109375" customWidth="1"/>
    <col min="88" max="88" width="43.28515625" customWidth="1"/>
    <col min="89" max="89" width="41.7109375" customWidth="1"/>
    <col min="90" max="90" width="38.5703125" customWidth="1"/>
    <col min="91" max="91" width="37.140625" customWidth="1"/>
    <col min="92" max="92" width="42.85546875" customWidth="1"/>
    <col min="93" max="93" width="37" customWidth="1"/>
    <col min="94" max="94" width="14.28515625" customWidth="1"/>
    <col min="95" max="95" width="41.42578125" customWidth="1"/>
    <col min="96" max="96" width="34.140625" customWidth="1"/>
    <col min="97" max="97" width="30" customWidth="1"/>
    <col min="98" max="98" width="25.85546875" customWidth="1"/>
    <col min="99" max="99" width="38" customWidth="1"/>
    <col min="100" max="100" width="39.7109375" customWidth="1"/>
    <col min="101" max="101" width="20.140625" customWidth="1"/>
    <col min="102" max="102" width="31.28515625" customWidth="1"/>
    <col min="103" max="103" width="27.28515625" customWidth="1"/>
    <col min="104" max="104" width="42.7109375" customWidth="1"/>
    <col min="105" max="105" width="36.7109375" customWidth="1"/>
    <col min="106" max="106" width="43.28515625" customWidth="1"/>
    <col min="107" max="107" width="41.7109375" customWidth="1"/>
    <col min="108" max="108" width="43" customWidth="1"/>
    <col min="109" max="109" width="37.140625" customWidth="1"/>
    <col min="110" max="110" width="42.85546875" customWidth="1"/>
    <col min="111" max="111" width="37" customWidth="1"/>
    <col min="112" max="112" width="14.28515625" customWidth="1"/>
    <col min="113" max="113" width="45.85546875" customWidth="1"/>
    <col min="114" max="114" width="34.140625" customWidth="1"/>
    <col min="115" max="115" width="30" customWidth="1"/>
    <col min="116" max="116" width="25.85546875" customWidth="1"/>
    <col min="117" max="117" width="38" customWidth="1"/>
    <col min="118" max="118" width="39.7109375" customWidth="1"/>
    <col min="119" max="119" width="20.140625" customWidth="1"/>
    <col min="120" max="120" width="31.28515625" customWidth="1"/>
    <col min="121" max="121" width="27.28515625" customWidth="1"/>
    <col min="122" max="122" width="38.28515625" customWidth="1"/>
    <col min="123" max="123" width="36.7109375" customWidth="1"/>
    <col min="124" max="124" width="43.28515625" customWidth="1"/>
    <col min="125" max="125" width="41.7109375" customWidth="1"/>
    <col min="126" max="126" width="43" customWidth="1"/>
    <col min="127" max="127" width="37.140625" customWidth="1"/>
    <col min="128" max="128" width="42.85546875" customWidth="1"/>
    <col min="129" max="129" width="37" customWidth="1"/>
    <col min="130" max="130" width="14.28515625" customWidth="1"/>
    <col min="131" max="131" width="41.42578125" customWidth="1"/>
    <col min="132" max="132" width="34.140625" customWidth="1"/>
    <col min="133" max="133" width="30" customWidth="1"/>
    <col min="134" max="134" width="25.85546875" customWidth="1"/>
    <col min="135" max="135" width="38" customWidth="1"/>
    <col min="136" max="136" width="39.7109375" customWidth="1"/>
    <col min="137" max="137" width="20.140625" customWidth="1"/>
    <col min="138" max="138" width="31.28515625" customWidth="1"/>
    <col min="139" max="139" width="27.28515625" customWidth="1"/>
    <col min="140" max="140" width="42.7109375" customWidth="1"/>
    <col min="141" max="141" width="36.7109375" customWidth="1"/>
    <col min="142" max="142" width="43.28515625" customWidth="1"/>
    <col min="143" max="143" width="41.7109375" customWidth="1"/>
    <col min="144" max="144" width="43" customWidth="1"/>
    <col min="145" max="145" width="37.140625" customWidth="1"/>
    <col min="146" max="146" width="42.28515625" customWidth="1"/>
    <col min="147" max="147" width="37" customWidth="1"/>
    <col min="148" max="148" width="14.28515625" customWidth="1"/>
    <col min="149" max="149" width="41.42578125" customWidth="1"/>
    <col min="150" max="150" width="34.140625" customWidth="1"/>
    <col min="151" max="151" width="30" customWidth="1"/>
    <col min="152" max="152" width="25.85546875" customWidth="1"/>
    <col min="153" max="153" width="38" customWidth="1"/>
    <col min="154" max="154" width="39.7109375" customWidth="1"/>
    <col min="155" max="155" width="20.140625" customWidth="1"/>
    <col min="156" max="156" width="31.28515625" customWidth="1"/>
    <col min="157" max="157" width="27.28515625" customWidth="1"/>
    <col min="158" max="158" width="42.7109375" customWidth="1"/>
    <col min="159" max="159" width="36.7109375" customWidth="1"/>
    <col min="160" max="160" width="43.28515625" customWidth="1"/>
    <col min="161" max="161" width="41.7109375" customWidth="1"/>
    <col min="162" max="162" width="43" customWidth="1"/>
    <col min="163" max="163" width="37.140625" customWidth="1"/>
    <col min="164" max="164" width="42.28515625" customWidth="1"/>
    <col min="165" max="165" width="37" customWidth="1"/>
    <col min="166" max="166" width="14.28515625" customWidth="1"/>
    <col min="167" max="167" width="19.28515625" customWidth="1"/>
    <col min="168" max="168" width="14.28515625" customWidth="1"/>
    <col min="169" max="169" width="16.28515625" customWidth="1"/>
    <col min="170" max="170" width="13.140625" customWidth="1"/>
    <col min="171" max="171" width="19" customWidth="1"/>
    <col min="172" max="172" width="17.140625" customWidth="1"/>
    <col min="173" max="173" width="15.28515625" customWidth="1"/>
    <col min="174" max="174" width="19.28515625" customWidth="1"/>
    <col min="175" max="175" width="27.28515625" customWidth="1"/>
    <col min="176" max="176" width="42.7109375" customWidth="1"/>
    <col min="177" max="177" width="36.7109375" customWidth="1"/>
    <col min="178" max="178" width="43.28515625" customWidth="1"/>
    <col min="179" max="179" width="41.7109375" customWidth="1"/>
    <col min="180" max="180" width="43" customWidth="1"/>
    <col min="181" max="181" width="37.140625" customWidth="1"/>
    <col min="182" max="182" width="42.28515625" customWidth="1"/>
    <col min="183" max="183" width="37" customWidth="1"/>
    <col min="184" max="184" width="14.28515625" customWidth="1"/>
    <col min="185" max="185" width="41.42578125" customWidth="1"/>
    <col min="186" max="186" width="34.140625" customWidth="1"/>
    <col min="187" max="187" width="30" customWidth="1"/>
    <col min="188" max="188" width="25.85546875" customWidth="1"/>
    <col min="189" max="189" width="38" customWidth="1"/>
    <col min="190" max="190" width="39.7109375" customWidth="1"/>
    <col min="191" max="191" width="20.140625" customWidth="1"/>
    <col min="192" max="192" width="31.28515625" customWidth="1"/>
    <col min="193" max="193" width="27.28515625" customWidth="1"/>
    <col min="194" max="194" width="42.7109375" customWidth="1"/>
    <col min="195" max="195" width="36.7109375" customWidth="1"/>
    <col min="196" max="196" width="43.28515625" customWidth="1"/>
    <col min="197" max="197" width="41.7109375" customWidth="1"/>
    <col min="198" max="198" width="43" customWidth="1"/>
    <col min="199" max="199" width="37.140625" customWidth="1"/>
    <col min="200" max="200" width="42.28515625" customWidth="1"/>
    <col min="201" max="201" width="37" customWidth="1"/>
    <col min="202" max="202" width="14.28515625" customWidth="1"/>
    <col min="203" max="203" width="41.42578125" customWidth="1"/>
    <col min="204" max="204" width="34.140625" customWidth="1"/>
    <col min="205" max="205" width="30" customWidth="1"/>
    <col min="206" max="206" width="25.85546875" customWidth="1"/>
    <col min="207" max="207" width="38" customWidth="1"/>
    <col min="208" max="208" width="39.7109375" customWidth="1"/>
    <col min="209" max="209" width="20.140625" customWidth="1"/>
    <col min="210" max="210" width="31.28515625" customWidth="1"/>
    <col min="211" max="211" width="27.28515625" customWidth="1"/>
    <col min="212" max="212" width="42.7109375" customWidth="1"/>
    <col min="213" max="213" width="36.7109375" customWidth="1"/>
    <col min="214" max="214" width="43.28515625" customWidth="1"/>
    <col min="215" max="215" width="41.7109375" customWidth="1"/>
    <col min="216" max="216" width="43" customWidth="1"/>
    <col min="217" max="217" width="37.140625" customWidth="1"/>
    <col min="218" max="218" width="42.28515625" customWidth="1"/>
    <col min="219" max="219" width="37" customWidth="1"/>
    <col min="220" max="220" width="14.28515625" customWidth="1"/>
    <col min="221" max="221" width="41.42578125" customWidth="1"/>
    <col min="222" max="222" width="34.140625" customWidth="1"/>
    <col min="223" max="223" width="30" customWidth="1"/>
    <col min="224" max="224" width="27" customWidth="1"/>
    <col min="225" max="225" width="39.140625" customWidth="1"/>
    <col min="226" max="226" width="40.85546875" customWidth="1"/>
    <col min="227" max="227" width="21.28515625" customWidth="1"/>
    <col min="228" max="228" width="32.42578125" customWidth="1"/>
    <col min="229" max="229" width="28.28515625" customWidth="1"/>
    <col min="230" max="230" width="43.7109375" customWidth="1"/>
    <col min="231" max="231" width="37.85546875" customWidth="1"/>
    <col min="232" max="232" width="44.28515625" customWidth="1"/>
    <col min="233" max="233" width="44" customWidth="1"/>
    <col min="234" max="234" width="44.140625" customWidth="1"/>
    <col min="235" max="235" width="38.28515625" customWidth="1"/>
    <col min="236" max="236" width="43.42578125" customWidth="1"/>
    <col min="237" max="237" width="38.140625" customWidth="1"/>
    <col min="238" max="238" width="15.28515625" customWidth="1"/>
    <col min="239" max="239" width="42.5703125" customWidth="1"/>
    <col min="240" max="240" width="35.28515625" customWidth="1"/>
    <col min="241" max="241" width="31.140625" customWidth="1"/>
    <col min="242" max="242" width="20" customWidth="1"/>
    <col min="243" max="243" width="26" customWidth="1"/>
    <col min="244" max="244" width="19.42578125" customWidth="1"/>
    <col min="245" max="245" width="18.28515625" customWidth="1"/>
    <col min="246" max="246" width="19.42578125" customWidth="1"/>
    <col min="247" max="247" width="21.28515625" customWidth="1"/>
    <col min="248" max="248" width="17.140625" customWidth="1"/>
    <col min="249" max="249" width="25.85546875" customWidth="1"/>
    <col min="250" max="250" width="12.7109375" customWidth="1"/>
    <col min="251" max="251" width="47.28515625" customWidth="1"/>
  </cols>
  <sheetData>
    <row r="1" spans="1:301" x14ac:dyDescent="0.25">
      <c r="A1" s="2"/>
      <c r="B1" s="2"/>
      <c r="C1" s="2"/>
      <c r="D1" s="2"/>
      <c r="E1" s="2"/>
      <c r="F1" s="2"/>
      <c r="G1" s="2"/>
      <c r="H1" s="2"/>
      <c r="I1" s="2"/>
      <c r="J1" s="2"/>
      <c r="K1" s="2"/>
      <c r="L1" s="2"/>
      <c r="M1" s="2"/>
      <c r="N1" s="2"/>
      <c r="O1" s="2"/>
      <c r="P1" s="2"/>
      <c r="Q1" s="2"/>
      <c r="R1" s="2"/>
    </row>
    <row r="2" spans="1:301" ht="15.75" thickBot="1" x14ac:dyDescent="0.3">
      <c r="A2" s="2"/>
      <c r="B2" s="2"/>
      <c r="C2" s="2"/>
      <c r="D2" s="2"/>
      <c r="E2" s="2"/>
      <c r="F2" s="2"/>
      <c r="G2" s="2"/>
      <c r="H2" s="2"/>
      <c r="I2" s="2"/>
      <c r="J2" s="2"/>
      <c r="K2" s="2"/>
      <c r="L2" s="2"/>
      <c r="M2" s="2"/>
      <c r="N2" s="2"/>
      <c r="O2" s="2"/>
      <c r="P2" s="2"/>
      <c r="Q2" s="2"/>
      <c r="R2" s="2"/>
    </row>
    <row r="3" spans="1:301" ht="19.5" thickBot="1" x14ac:dyDescent="0.35">
      <c r="A3" s="27"/>
      <c r="B3" s="28" t="s">
        <v>7</v>
      </c>
      <c r="C3" s="28"/>
      <c r="D3" s="28"/>
      <c r="E3" s="28"/>
      <c r="F3" s="28"/>
      <c r="G3" s="28"/>
      <c r="H3" s="28"/>
      <c r="I3" s="28"/>
      <c r="J3" s="28"/>
      <c r="K3" s="28"/>
      <c r="L3" s="28"/>
      <c r="M3" s="28"/>
      <c r="N3" s="28"/>
      <c r="O3" s="28"/>
      <c r="P3" s="28"/>
      <c r="Q3" s="28"/>
      <c r="R3" s="29"/>
    </row>
    <row r="4" spans="1:301" ht="32.25" thickBot="1" x14ac:dyDescent="0.3">
      <c r="A4" s="27"/>
      <c r="B4" s="30" t="s">
        <v>8</v>
      </c>
      <c r="C4" s="31" t="s">
        <v>9</v>
      </c>
      <c r="D4" s="30" t="s">
        <v>10</v>
      </c>
      <c r="E4" s="30" t="s">
        <v>11</v>
      </c>
      <c r="F4" s="30" t="s">
        <v>12</v>
      </c>
      <c r="G4" s="30" t="s">
        <v>13</v>
      </c>
      <c r="H4" s="30" t="s">
        <v>14</v>
      </c>
      <c r="I4" s="30" t="s">
        <v>15</v>
      </c>
      <c r="J4" s="30" t="s">
        <v>16</v>
      </c>
      <c r="K4" s="30" t="s">
        <v>17</v>
      </c>
      <c r="L4" s="30" t="s">
        <v>18</v>
      </c>
      <c r="M4" s="30" t="s">
        <v>19</v>
      </c>
      <c r="N4" s="30" t="s">
        <v>20</v>
      </c>
      <c r="O4" s="30" t="s">
        <v>21</v>
      </c>
      <c r="P4" s="32" t="s">
        <v>22</v>
      </c>
      <c r="Q4" s="32" t="s">
        <v>23</v>
      </c>
      <c r="R4" s="33" t="s">
        <v>24</v>
      </c>
    </row>
    <row r="5" spans="1:301" ht="16.5" thickBot="1" x14ac:dyDescent="0.3">
      <c r="A5" s="27"/>
      <c r="B5" s="34" t="e">
        <v>#N/A</v>
      </c>
      <c r="C5" s="35" t="s">
        <v>9</v>
      </c>
      <c r="D5" s="34" t="s">
        <v>10</v>
      </c>
      <c r="E5" s="34" t="s">
        <v>11</v>
      </c>
      <c r="F5" s="36" t="s">
        <v>12</v>
      </c>
      <c r="G5" s="37" t="s">
        <v>13</v>
      </c>
      <c r="H5" s="37" t="s">
        <v>14</v>
      </c>
      <c r="I5" s="37" t="s">
        <v>15</v>
      </c>
      <c r="J5" s="34" t="s">
        <v>16</v>
      </c>
      <c r="K5" s="34" t="s">
        <v>17</v>
      </c>
      <c r="L5" s="34" t="s">
        <v>18</v>
      </c>
      <c r="M5" s="34" t="s">
        <v>19</v>
      </c>
      <c r="N5" s="34" t="s">
        <v>20</v>
      </c>
      <c r="O5" s="34" t="s">
        <v>21</v>
      </c>
      <c r="P5" s="34" t="s">
        <v>22</v>
      </c>
      <c r="Q5" s="34" t="s">
        <v>23</v>
      </c>
      <c r="R5" s="38" t="s">
        <v>25</v>
      </c>
    </row>
    <row r="6" spans="1:301" ht="15.75"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7"/>
      <c r="AL6" s="2"/>
      <c r="AM6" s="2"/>
      <c r="AN6" s="2"/>
      <c r="AO6" s="2"/>
      <c r="AP6" s="2"/>
      <c r="AQ6" s="2"/>
      <c r="AR6" s="2"/>
      <c r="AS6" s="2"/>
      <c r="AT6" s="2"/>
      <c r="AU6" s="2"/>
      <c r="AV6" s="2"/>
      <c r="AW6" s="2"/>
      <c r="AX6" s="2"/>
      <c r="AY6" s="2"/>
      <c r="AZ6" s="2"/>
      <c r="BA6" s="2"/>
      <c r="BB6" s="2"/>
      <c r="BC6" s="2"/>
      <c r="BD6" s="2"/>
      <c r="BE6" s="27"/>
      <c r="BF6" s="2"/>
      <c r="BG6" s="2"/>
      <c r="BH6" s="2"/>
      <c r="BI6" s="2"/>
      <c r="BJ6" s="2"/>
      <c r="BK6" s="2"/>
      <c r="BL6" s="2"/>
      <c r="BM6" s="2"/>
      <c r="BN6" s="2"/>
      <c r="BO6" s="2"/>
      <c r="BP6" s="2"/>
      <c r="BQ6" s="2"/>
      <c r="BR6" s="2"/>
      <c r="BS6" s="2"/>
      <c r="BT6" s="2"/>
      <c r="BU6" s="2"/>
      <c r="BV6" s="2"/>
      <c r="BW6" s="2"/>
      <c r="BX6" s="2"/>
      <c r="BY6" s="27"/>
      <c r="BZ6" s="27"/>
      <c r="CA6" s="27"/>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7"/>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68"/>
      <c r="IQ6" s="2"/>
      <c r="IR6" s="2"/>
      <c r="IS6" s="2"/>
      <c r="IT6" s="2"/>
      <c r="IU6" s="2"/>
      <c r="IV6" s="2"/>
      <c r="IW6" s="2"/>
      <c r="IX6" s="2"/>
      <c r="IY6" s="2"/>
      <c r="IZ6" s="2"/>
      <c r="JA6" s="2"/>
      <c r="JB6" s="2"/>
      <c r="JC6" s="2"/>
      <c r="JD6" s="2"/>
      <c r="JE6" s="2"/>
      <c r="JF6" s="2"/>
      <c r="JV6" s="2"/>
      <c r="JW6" s="2"/>
      <c r="JX6" s="2"/>
      <c r="JY6" s="2"/>
      <c r="JZ6" s="2"/>
      <c r="KA6" s="2"/>
      <c r="KB6" s="2"/>
      <c r="KC6" s="2"/>
      <c r="KD6" s="2"/>
      <c r="KE6" s="2"/>
      <c r="KF6" s="2"/>
      <c r="KG6" s="2"/>
      <c r="KH6" s="2"/>
      <c r="KI6" s="2"/>
      <c r="KJ6" s="2"/>
      <c r="KK6" s="2"/>
      <c r="KL6" s="2"/>
      <c r="KM6" s="2"/>
      <c r="KN6" s="2"/>
      <c r="KO6" s="2"/>
    </row>
    <row r="7" spans="1:301" ht="62.45" customHeight="1" x14ac:dyDescent="0.25">
      <c r="A7" s="39"/>
      <c r="B7" s="40" t="s">
        <v>8</v>
      </c>
      <c r="C7" s="41" t="s">
        <v>9</v>
      </c>
      <c r="D7" s="41" t="s">
        <v>10</v>
      </c>
      <c r="E7" s="41" t="s">
        <v>11</v>
      </c>
      <c r="F7" s="41" t="s">
        <v>12</v>
      </c>
      <c r="G7" s="41" t="s">
        <v>13</v>
      </c>
      <c r="H7" s="41" t="s">
        <v>14</v>
      </c>
      <c r="I7" s="41" t="s">
        <v>15</v>
      </c>
      <c r="J7" s="41" t="s">
        <v>16</v>
      </c>
      <c r="K7" s="41" t="s">
        <v>17</v>
      </c>
      <c r="L7" s="41" t="s">
        <v>18</v>
      </c>
      <c r="M7" s="41" t="s">
        <v>19</v>
      </c>
      <c r="N7" s="41" t="s">
        <v>20</v>
      </c>
      <c r="O7" s="41" t="s">
        <v>21</v>
      </c>
      <c r="P7" s="41" t="s">
        <v>22</v>
      </c>
      <c r="Q7" s="41" t="s">
        <v>23</v>
      </c>
      <c r="R7" s="41" t="s">
        <v>25</v>
      </c>
      <c r="S7" s="42" t="s">
        <v>26</v>
      </c>
      <c r="T7" s="42" t="s">
        <v>27</v>
      </c>
      <c r="U7" s="42" t="s">
        <v>28</v>
      </c>
      <c r="V7" s="42" t="s">
        <v>29</v>
      </c>
      <c r="W7" s="42" t="s">
        <v>30</v>
      </c>
      <c r="X7" s="42" t="s">
        <v>31</v>
      </c>
      <c r="Y7" s="42" t="s">
        <v>32</v>
      </c>
      <c r="Z7" s="42" t="s">
        <v>33</v>
      </c>
      <c r="AA7" s="42" t="s">
        <v>34</v>
      </c>
      <c r="AB7" s="42" t="s">
        <v>35</v>
      </c>
      <c r="AC7" s="42" t="s">
        <v>36</v>
      </c>
      <c r="AD7" s="42" t="s">
        <v>37</v>
      </c>
      <c r="AE7" s="42" t="s">
        <v>38</v>
      </c>
      <c r="AF7" s="42" t="s">
        <v>39</v>
      </c>
      <c r="AG7" s="42" t="s">
        <v>40</v>
      </c>
      <c r="AH7" s="42" t="s">
        <v>41</v>
      </c>
      <c r="AI7" s="42" t="s">
        <v>42</v>
      </c>
      <c r="AJ7" s="42" t="s">
        <v>43</v>
      </c>
      <c r="AK7" s="42" t="s">
        <v>44</v>
      </c>
      <c r="AL7" s="42" t="s">
        <v>45</v>
      </c>
      <c r="AM7" s="42" t="s">
        <v>46</v>
      </c>
      <c r="AN7" s="42" t="s">
        <v>47</v>
      </c>
      <c r="AO7" s="43" t="s">
        <v>48</v>
      </c>
      <c r="AP7" s="43" t="s">
        <v>49</v>
      </c>
      <c r="AQ7" s="43" t="s">
        <v>50</v>
      </c>
      <c r="AR7" s="43" t="s">
        <v>51</v>
      </c>
      <c r="AS7" s="43" t="s">
        <v>52</v>
      </c>
      <c r="AT7" s="43" t="s">
        <v>53</v>
      </c>
      <c r="AU7" s="43" t="s">
        <v>54</v>
      </c>
      <c r="AV7" s="43" t="s">
        <v>55</v>
      </c>
      <c r="AW7" s="43" t="s">
        <v>56</v>
      </c>
      <c r="AX7" s="43" t="s">
        <v>57</v>
      </c>
      <c r="AY7" s="43" t="s">
        <v>58</v>
      </c>
      <c r="AZ7" s="43" t="s">
        <v>59</v>
      </c>
      <c r="BA7" s="43" t="s">
        <v>60</v>
      </c>
      <c r="BB7" s="43" t="s">
        <v>61</v>
      </c>
      <c r="BC7" s="43" t="s">
        <v>62</v>
      </c>
      <c r="BD7" s="43" t="s">
        <v>63</v>
      </c>
      <c r="BE7" s="43" t="s">
        <v>64</v>
      </c>
      <c r="BF7" s="43" t="s">
        <v>65</v>
      </c>
      <c r="BG7" s="43" t="s">
        <v>66</v>
      </c>
      <c r="BH7" s="43" t="s">
        <v>67</v>
      </c>
      <c r="BI7" s="43" t="s">
        <v>68</v>
      </c>
      <c r="BJ7" s="44" t="s">
        <v>69</v>
      </c>
      <c r="BK7" s="44" t="s">
        <v>70</v>
      </c>
      <c r="BL7" s="44" t="s">
        <v>71</v>
      </c>
      <c r="BM7" s="44" t="s">
        <v>72</v>
      </c>
      <c r="BN7" s="44" t="s">
        <v>73</v>
      </c>
      <c r="BO7" s="44" t="s">
        <v>74</v>
      </c>
      <c r="BP7" s="44" t="s">
        <v>75</v>
      </c>
      <c r="BQ7" s="44" t="s">
        <v>76</v>
      </c>
      <c r="BR7" s="44" t="s">
        <v>77</v>
      </c>
      <c r="BS7" s="44" t="s">
        <v>78</v>
      </c>
      <c r="BT7" s="44" t="s">
        <v>79</v>
      </c>
      <c r="BU7" s="44" t="s">
        <v>80</v>
      </c>
      <c r="BV7" s="44" t="s">
        <v>81</v>
      </c>
      <c r="BW7" s="44" t="s">
        <v>82</v>
      </c>
      <c r="BX7" s="44" t="s">
        <v>83</v>
      </c>
      <c r="BY7" s="44" t="s">
        <v>84</v>
      </c>
      <c r="BZ7" s="44" t="s">
        <v>85</v>
      </c>
      <c r="CA7" s="44" t="s">
        <v>86</v>
      </c>
      <c r="CB7" s="45" t="s">
        <v>87</v>
      </c>
      <c r="CC7" s="45" t="s">
        <v>88</v>
      </c>
      <c r="CD7" s="45" t="s">
        <v>89</v>
      </c>
      <c r="CE7" s="45" t="s">
        <v>90</v>
      </c>
      <c r="CF7" s="45" t="s">
        <v>91</v>
      </c>
      <c r="CG7" s="45" t="s">
        <v>92</v>
      </c>
      <c r="CH7" s="45" t="s">
        <v>93</v>
      </c>
      <c r="CI7" s="45" t="s">
        <v>94</v>
      </c>
      <c r="CJ7" s="45" t="s">
        <v>95</v>
      </c>
      <c r="CK7" s="45" t="s">
        <v>96</v>
      </c>
      <c r="CL7" s="45" t="s">
        <v>97</v>
      </c>
      <c r="CM7" s="45" t="s">
        <v>98</v>
      </c>
      <c r="CN7" s="45" t="s">
        <v>99</v>
      </c>
      <c r="CO7" s="45" t="s">
        <v>100</v>
      </c>
      <c r="CP7" s="45" t="s">
        <v>101</v>
      </c>
      <c r="CQ7" s="45" t="s">
        <v>102</v>
      </c>
      <c r="CR7" s="45" t="s">
        <v>103</v>
      </c>
      <c r="CS7" s="45" t="s">
        <v>104</v>
      </c>
      <c r="CT7" s="46" t="s">
        <v>105</v>
      </c>
      <c r="CU7" s="46" t="s">
        <v>106</v>
      </c>
      <c r="CV7" s="46" t="s">
        <v>107</v>
      </c>
      <c r="CW7" s="46" t="s">
        <v>108</v>
      </c>
      <c r="CX7" s="46" t="s">
        <v>109</v>
      </c>
      <c r="CY7" s="46" t="s">
        <v>110</v>
      </c>
      <c r="CZ7" s="46" t="s">
        <v>111</v>
      </c>
      <c r="DA7" s="46" t="s">
        <v>112</v>
      </c>
      <c r="DB7" s="46" t="s">
        <v>113</v>
      </c>
      <c r="DC7" s="46" t="s">
        <v>114</v>
      </c>
      <c r="DD7" s="46" t="s">
        <v>115</v>
      </c>
      <c r="DE7" s="46" t="s">
        <v>116</v>
      </c>
      <c r="DF7" s="46" t="s">
        <v>117</v>
      </c>
      <c r="DG7" s="46" t="s">
        <v>118</v>
      </c>
      <c r="DH7" s="46" t="s">
        <v>119</v>
      </c>
      <c r="DI7" s="46" t="s">
        <v>120</v>
      </c>
      <c r="DJ7" s="46" t="s">
        <v>121</v>
      </c>
      <c r="DK7" s="46" t="s">
        <v>122</v>
      </c>
      <c r="DL7" s="47" t="s">
        <v>123</v>
      </c>
      <c r="DM7" s="47" t="s">
        <v>124</v>
      </c>
      <c r="DN7" s="47" t="s">
        <v>125</v>
      </c>
      <c r="DO7" s="47" t="s">
        <v>126</v>
      </c>
      <c r="DP7" s="47" t="s">
        <v>127</v>
      </c>
      <c r="DQ7" s="47" t="s">
        <v>128</v>
      </c>
      <c r="DR7" s="47" t="s">
        <v>129</v>
      </c>
      <c r="DS7" s="47" t="s">
        <v>130</v>
      </c>
      <c r="DT7" s="47" t="s">
        <v>131</v>
      </c>
      <c r="DU7" s="47" t="s">
        <v>132</v>
      </c>
      <c r="DV7" s="47" t="s">
        <v>133</v>
      </c>
      <c r="DW7" s="47" t="s">
        <v>134</v>
      </c>
      <c r="DX7" s="47" t="s">
        <v>135</v>
      </c>
      <c r="DY7" s="47" t="s">
        <v>136</v>
      </c>
      <c r="DZ7" s="47" t="s">
        <v>137</v>
      </c>
      <c r="EA7" s="47" t="s">
        <v>138</v>
      </c>
      <c r="EB7" s="47" t="s">
        <v>139</v>
      </c>
      <c r="EC7" s="47" t="s">
        <v>140</v>
      </c>
      <c r="ED7" s="41" t="s">
        <v>141</v>
      </c>
      <c r="EE7" s="41" t="s">
        <v>142</v>
      </c>
      <c r="EF7" s="41" t="s">
        <v>143</v>
      </c>
      <c r="EG7" s="41" t="s">
        <v>144</v>
      </c>
      <c r="EH7" s="41" t="s">
        <v>145</v>
      </c>
      <c r="EI7" s="41" t="s">
        <v>146</v>
      </c>
      <c r="EJ7" s="41" t="s">
        <v>147</v>
      </c>
      <c r="EK7" s="41" t="s">
        <v>148</v>
      </c>
      <c r="EL7" s="41" t="s">
        <v>149</v>
      </c>
      <c r="EM7" s="41" t="s">
        <v>150</v>
      </c>
      <c r="EN7" s="41" t="s">
        <v>151</v>
      </c>
      <c r="EO7" s="41" t="s">
        <v>152</v>
      </c>
      <c r="EP7" s="41" t="s">
        <v>153</v>
      </c>
      <c r="EQ7" s="41" t="s">
        <v>154</v>
      </c>
      <c r="ER7" s="41" t="s">
        <v>155</v>
      </c>
      <c r="ES7" s="41" t="s">
        <v>156</v>
      </c>
      <c r="ET7" s="41" t="s">
        <v>157</v>
      </c>
      <c r="EU7" s="41" t="s">
        <v>158</v>
      </c>
      <c r="EV7" s="42" t="s">
        <v>159</v>
      </c>
      <c r="EW7" s="42" t="s">
        <v>160</v>
      </c>
      <c r="EX7" s="42" t="s">
        <v>161</v>
      </c>
      <c r="EY7" s="42" t="s">
        <v>162</v>
      </c>
      <c r="EZ7" s="42" t="s">
        <v>163</v>
      </c>
      <c r="FA7" s="42" t="s">
        <v>164</v>
      </c>
      <c r="FB7" s="42" t="s">
        <v>165</v>
      </c>
      <c r="FC7" s="42" t="s">
        <v>166</v>
      </c>
      <c r="FD7" s="42" t="s">
        <v>167</v>
      </c>
      <c r="FE7" s="42" t="s">
        <v>168</v>
      </c>
      <c r="FF7" s="42" t="s">
        <v>169</v>
      </c>
      <c r="FG7" s="42" t="s">
        <v>170</v>
      </c>
      <c r="FH7" s="42" t="s">
        <v>171</v>
      </c>
      <c r="FI7" s="42" t="s">
        <v>172</v>
      </c>
      <c r="FJ7" s="42" t="s">
        <v>173</v>
      </c>
      <c r="FK7" s="42" t="s">
        <v>174</v>
      </c>
      <c r="FL7" s="42" t="s">
        <v>175</v>
      </c>
      <c r="FM7" s="42" t="s">
        <v>176</v>
      </c>
      <c r="FN7" s="45" t="s">
        <v>177</v>
      </c>
      <c r="FO7" s="45" t="s">
        <v>178</v>
      </c>
      <c r="FP7" s="45" t="s">
        <v>179</v>
      </c>
      <c r="FQ7" s="45" t="s">
        <v>180</v>
      </c>
      <c r="FR7" s="45" t="s">
        <v>181</v>
      </c>
      <c r="FS7" s="45" t="s">
        <v>182</v>
      </c>
      <c r="FT7" s="45" t="s">
        <v>183</v>
      </c>
      <c r="FU7" s="45" t="s">
        <v>184</v>
      </c>
      <c r="FV7" s="45" t="s">
        <v>185</v>
      </c>
      <c r="FW7" s="45" t="s">
        <v>186</v>
      </c>
      <c r="FX7" s="45" t="s">
        <v>187</v>
      </c>
      <c r="FY7" s="45" t="s">
        <v>188</v>
      </c>
      <c r="FZ7" s="45" t="s">
        <v>189</v>
      </c>
      <c r="GA7" s="45" t="s">
        <v>190</v>
      </c>
      <c r="GB7" s="45" t="s">
        <v>191</v>
      </c>
      <c r="GC7" s="45" t="s">
        <v>192</v>
      </c>
      <c r="GD7" s="45" t="s">
        <v>193</v>
      </c>
      <c r="GE7" s="45" t="s">
        <v>194</v>
      </c>
      <c r="GF7" s="44" t="s">
        <v>195</v>
      </c>
      <c r="GG7" s="44" t="s">
        <v>196</v>
      </c>
      <c r="GH7" s="44" t="s">
        <v>197</v>
      </c>
      <c r="GI7" s="44" t="s">
        <v>198</v>
      </c>
      <c r="GJ7" s="44" t="s">
        <v>199</v>
      </c>
      <c r="GK7" s="44" t="s">
        <v>200</v>
      </c>
      <c r="GL7" s="44" t="s">
        <v>201</v>
      </c>
      <c r="GM7" s="44" t="s">
        <v>202</v>
      </c>
      <c r="GN7" s="44" t="s">
        <v>203</v>
      </c>
      <c r="GO7" s="44" t="s">
        <v>204</v>
      </c>
      <c r="GP7" s="44" t="s">
        <v>205</v>
      </c>
      <c r="GQ7" s="44" t="s">
        <v>206</v>
      </c>
      <c r="GR7" s="44" t="s">
        <v>207</v>
      </c>
      <c r="GS7" s="44" t="s">
        <v>208</v>
      </c>
      <c r="GT7" s="44" t="s">
        <v>209</v>
      </c>
      <c r="GU7" s="44" t="s">
        <v>210</v>
      </c>
      <c r="GV7" s="44" t="s">
        <v>211</v>
      </c>
      <c r="GW7" s="44" t="s">
        <v>212</v>
      </c>
      <c r="GX7" s="46" t="s">
        <v>213</v>
      </c>
      <c r="GY7" s="46" t="s">
        <v>214</v>
      </c>
      <c r="GZ7" s="46" t="s">
        <v>215</v>
      </c>
      <c r="HA7" s="46" t="s">
        <v>216</v>
      </c>
      <c r="HB7" s="46" t="s">
        <v>217</v>
      </c>
      <c r="HC7" s="46" t="s">
        <v>218</v>
      </c>
      <c r="HD7" s="46" t="s">
        <v>219</v>
      </c>
      <c r="HE7" s="46" t="s">
        <v>220</v>
      </c>
      <c r="HF7" s="46" t="s">
        <v>221</v>
      </c>
      <c r="HG7" s="46" t="s">
        <v>222</v>
      </c>
      <c r="HH7" s="46" t="s">
        <v>223</v>
      </c>
      <c r="HI7" s="46" t="s">
        <v>224</v>
      </c>
      <c r="HJ7" s="46" t="s">
        <v>225</v>
      </c>
      <c r="HK7" s="46" t="s">
        <v>226</v>
      </c>
      <c r="HL7" s="46" t="s">
        <v>227</v>
      </c>
      <c r="HM7" s="46" t="s">
        <v>228</v>
      </c>
      <c r="HN7" s="46" t="s">
        <v>229</v>
      </c>
      <c r="HO7" s="46" t="s">
        <v>230</v>
      </c>
      <c r="HP7" s="47" t="s">
        <v>231</v>
      </c>
      <c r="HQ7" s="47" t="s">
        <v>232</v>
      </c>
      <c r="HR7" s="47" t="s">
        <v>233</v>
      </c>
      <c r="HS7" s="47" t="s">
        <v>234</v>
      </c>
      <c r="HT7" s="47" t="s">
        <v>235</v>
      </c>
      <c r="HU7" s="47" t="s">
        <v>236</v>
      </c>
      <c r="HV7" s="47" t="s">
        <v>237</v>
      </c>
      <c r="HW7" s="47" t="s">
        <v>238</v>
      </c>
      <c r="HX7" s="47" t="s">
        <v>239</v>
      </c>
      <c r="HY7" s="47" t="s">
        <v>240</v>
      </c>
      <c r="HZ7" s="47" t="s">
        <v>241</v>
      </c>
      <c r="IA7" s="47" t="s">
        <v>242</v>
      </c>
      <c r="IB7" s="47" t="s">
        <v>243</v>
      </c>
      <c r="IC7" s="47" t="s">
        <v>244</v>
      </c>
      <c r="ID7" s="47" t="s">
        <v>245</v>
      </c>
      <c r="IE7" s="47" t="s">
        <v>246</v>
      </c>
      <c r="IF7" s="47" t="s">
        <v>247</v>
      </c>
      <c r="IG7" s="47" t="s">
        <v>248</v>
      </c>
      <c r="IH7" s="41" t="s">
        <v>249</v>
      </c>
      <c r="II7" s="41" t="s">
        <v>250</v>
      </c>
      <c r="IJ7" s="41" t="s">
        <v>251</v>
      </c>
      <c r="IK7" s="41" t="s">
        <v>252</v>
      </c>
      <c r="IL7" s="41" t="s">
        <v>253</v>
      </c>
      <c r="IM7" s="41" t="s">
        <v>254</v>
      </c>
      <c r="IN7" s="41" t="s">
        <v>255</v>
      </c>
      <c r="IO7" s="41" t="s">
        <v>256</v>
      </c>
      <c r="IP7" s="41" t="s">
        <v>257</v>
      </c>
      <c r="IQ7" s="41" t="s">
        <v>258</v>
      </c>
      <c r="KO7" s="39"/>
    </row>
    <row r="8" spans="1:301" ht="15.75" x14ac:dyDescent="0.25">
      <c r="A8" s="27"/>
      <c r="B8" s="48" t="str">
        <f>IF(NOT(ISBLANK('FY2023 MEDEVAC Tracker'!$IH8)), IH8, IF(NOT(ISBLANK('FY2023 MEDEVAC Tracker'!$HR8)), "10th Extension Funding Out", IF(NOT(ISBLANK('FY2023 MEDEVAC Tracker'!$GZ8)), "9th Extension Funding Out", IF(NOT(ISBLANK('FY2023 MEDEVAC Tracker'!$GH8)), "8th Extension Funding Out", IF(NOT(ISBLANK('FY2023 MEDEVAC Tracker'!$FP8)), "7th Extension Funding Out", IF(NOT(ISBLANK('FY2023 MEDEVAC Tracker'!$EX8)), "6th Extension Funding Out", IF(NOT(ISBLANK('FY2023 MEDEVAC Tracker'!$EF8)), "5th Extension Funding Out", IF(NOT(ISBLANK('FY2023 MEDEVAC Tracker'!$EE8)), "5th Extension In Processing", IF(NOT(ISBLANK('FY2023 MEDEVAC Tracker'!$DN8)), "4th Extension Funding Out", IF(NOT(ISBLANK('FY2023 MEDEVAC Tracker'!$DM8)), "4th Extension In Processing",IF(NOT(ISBLANK('FY2023 MEDEVAC Tracker'!$CV8)), "3rd Extension Funding Out", IF(NOT(ISBLANK('FY2023 MEDEVAC Tracker'!$CU8)), "3rd Extension In Processing", IF(NOT(ISBLANK('FY2023 MEDEVAC Tracker'!$CD8)), "2nd Extension Funding Out",  IF(NOT(ISBLANK('FY2023 MEDEVAC Tracker'!$CC8)), "2nd Extension In Processing", IF(NOT(ISBLANK('FY2023 MEDEVAC Tracker'!$BL8)), "1st Extension Funding Out", IF(NOT(ISBLANK('FY2023 MEDEVAC Tracker'!$BK8)), "1st Extension In Processing", IF(NOT(ISBLANK('FY2023 MEDEVAC Tracker'!$AR8)), "Amendment Funding Out", IF(NOT(ISBLANK('FY2023 MEDEVAC Tracker'!$AQ8)), "Amendment In Processing", IF(NOT(ISBLANK('FY2023 MEDEVAC Tracker'!$X8)), "Initial Funding Out", IF(NOT(ISBLANK('FY2023 MEDEVAC Tracker'!$W8)), "Initial In Processing", IF(NOT(ISBLANK('FY2023 MEDEVAC Tracker'!$W8)), "Initiated", "N/A")))))))))))))))))))))</f>
        <v xml:space="preserve">Final Acct </v>
      </c>
      <c r="C8" s="49" t="str">
        <f ca="1">IF(NOT(ISBLANK('FY2023 MEDEVAC Tracker'!$HP8)), IF(ISBLANK('FY2023 MEDEVAC Tracker'!$HQ8), "N/A", IF(ISBLANK('FY2023 MEDEVAC Tracker'!$HR8), TODAY()-'FY2023 MEDEVAC Tracker'!$HQ8, "Sent")), IF(NOT(ISBLANK('FY2023 MEDEVAC Tracker'!$GX8)), IF(ISBLANK('FY2023 MEDEVAC Tracker'!$GY8), "N/A", IF(ISBLANK('FY2023 MEDEVAC Tracker'!$GZ8), TODAY()-'FY2023 MEDEVAC Tracker'!$GY8, "Sent")), IF(NOT(ISBLANK('FY2023 MEDEVAC Tracker'!$GF8)), IF(ISBLANK('FY2023 MEDEVAC Tracker'!$GG8), "N/A", IF(ISBLANK('FY2023 MEDEVAC Tracker'!$GH8), TODAY()-'FY2023 MEDEVAC Tracker'!$GG8, "Sent")), IF(NOT(ISBLANK('FY2023 MEDEVAC Tracker'!$FN8)), IF(ISBLANK('FY2023 MEDEVAC Tracker'!$FO8), "N/A", IF(ISBLANK('FY2023 MEDEVAC Tracker'!$FP8), TODAY()-'FY2023 MEDEVAC Tracker'!$FO8, "Sent")), IF(NOT(ISBLANK('FY2023 MEDEVAC Tracker'!$EV8)), IF(ISBLANK('FY2023 MEDEVAC Tracker'!$EW8), "N/A", IF(ISBLANK('FY2023 MEDEVAC Tracker'!$EX8), TODAY()-'FY2023 MEDEVAC Tracker'!$EW8, "Sent")), IF(NOT(ISBLANK('FY2023 MEDEVAC Tracker'!$ED8)), IF(ISBLANK('FY2023 MEDEVAC Tracker'!$EE8), "N/A", IF(ISBLANK('FY2023 MEDEVAC Tracker'!$EF8), TODAY()-'FY2023 MEDEVAC Tracker'!$EE8, "Sent")), IF(NOT(ISBLANK('FY2023 MEDEVAC Tracker'!$DL8)), IF(ISBLANK('FY2023 MEDEVAC Tracker'!$DM8), "N/A", IF(ISBLANK('FY2023 MEDEVAC Tracker'!$DN8), TODAY()-'FY2023 MEDEVAC Tracker'!$DM8, "Sent")), IF(NOT(ISBLANK('FY2023 MEDEVAC Tracker'!$CT8)), IF(ISBLANK('FY2023 MEDEVAC Tracker'!$CU8), "N/A", IF(ISBLANK('FY2023 MEDEVAC Tracker'!$CV8), TODAY()-'FY2023 MEDEVAC Tracker'!$CU8, "Sent")),IF(NOT(ISBLANK('FY2023 MEDEVAC Tracker'!$CB8)), IF(ISBLANK('FY2023 MEDEVAC Tracker'!$CC8), "N/A", IF(ISBLANK('FY2023 MEDEVAC Tracker'!$CD8), TODAY()-'FY2023 MEDEVAC Tracker'!$CC8, "Sent")),IF(NOT(ISBLANK('FY2023 MEDEVAC Tracker'!$BJ8)), IF(ISBLANK('FY2023 MEDEVAC Tracker'!$BK8), "N/A", IF(ISBLANK('FY2023 MEDEVAC Tracker'!$BL8), TODAY()-'FY2023 MEDEVAC Tracker'!$BK8, "Sent")), IF(NOT(ISBLANK('FY2023 MEDEVAC Tracker'!$AP8)), IF(ISBLANK('FY2023 MEDEVAC Tracker'!$AQ8), "N/A", IF(ISBLANK('FY2023 MEDEVAC Tracker'!$AR8), TODAY()-'FY2023 MEDEVAC Tracker'!$AQ8, "Sent")), IF(NOT(ISBLANK('FY2023 MEDEVAC Tracker'!$I8)), IF(ISBLANK('FY2023 MEDEVAC Tracker'!$W8), "N/A", IF(ISBLANK('FY2023 MEDEVAC Tracker'!$X8), TODAY()-'FY2023 MEDEVAC Tracker'!$W8, "Sent")),"N/A"))))))))))))</f>
        <v>N/A</v>
      </c>
      <c r="D8" s="49">
        <f ca="1">_xlfn.NUMBERVALUE(CONCATENATE(RIGHT(YEAR((TODAY()-860)), 3), IF(OR('FY2023 MEDEVAC Tracker'!$E8="DOS", 'FY2023 MEDEVAC Tracker'!$E8="Seabee", 'FY2023 MEDEVAC Tracker'!$E8="DOS/Seabee"),10, 90), TEXT(((COUNTIF($E$8:E8, E8))-1),"000")))</f>
        <v>2310000</v>
      </c>
      <c r="E8" s="50" t="s">
        <v>259</v>
      </c>
      <c r="F8" s="50" t="s">
        <v>924</v>
      </c>
      <c r="G8" s="51" t="e">
        <f>IF(ISBLANK('FY2023 MEDEVAC Tracker'!$AO8), 'FY2023 MEDEVAC Tracker'!$AN8, 'FY2023 MEDEVAC Tracker'!$BI8)+'FY2023 MEDEVAC Tracker'!$CA8+'FY2023 MEDEVAC Tracker'!$CS8+'FY2023 MEDEVAC Tracker'!$DK8+'FY2023 MEDEVAC Tracker'!$EC8+'FY2023 MEDEVAC Tracker'!$EU8+'FY2023 MEDEVAC Tracker'!$FM8+'FY2023 MEDEVAC Tracker'!$GE8+'FY2023 MEDEVAC Tracker'!$GW8+'FY2023 MEDEVAC Tracker'!$HO8+'FY2023 MEDEVAC Tracker'!$IG8</f>
        <v>#REF!</v>
      </c>
      <c r="H8" s="52">
        <f>IF(ISBLANK('FY2023 MEDEVAC Tracker'!$AO8), 'FY2023 MEDEVAC Tracker'!$S8, 'FY2023 MEDEVAC Tracker'!$AO8)</f>
        <v>44851</v>
      </c>
      <c r="I8" s="52">
        <f>MAX('FY2023 MEDEVAC Tracker'!$T8, 'FY2023 MEDEVAC Tracker'!$AP8, 'FY2023 MEDEVAC Tracker'!$BJ8,  'FY2023 MEDEVAC Tracker'!$CB8,  'FY2023 MEDEVAC Tracker'!$CT8,  'FY2023 MEDEVAC Tracker'!$DL8,  'FY2023 MEDEVAC Tracker'!$ED8,  'FY2023 MEDEVAC Tracker'!$EV8,  'FY2023 MEDEVAC Tracker'!$FN8,  'FY2023 MEDEVAC Tracker'!$GF8,  'FY2023 MEDEVAC Tracker'!$GX8,  'FY2023 MEDEVAC Tracker'!$HP8, )</f>
        <v>44857</v>
      </c>
      <c r="J8" s="50" t="s">
        <v>260</v>
      </c>
      <c r="K8" s="50" t="s">
        <v>261</v>
      </c>
      <c r="L8" s="50" t="s">
        <v>261</v>
      </c>
      <c r="M8" s="49" t="str">
        <f>VLOOKUP('FY2023 MEDEVAC Tracker'!$N8, List!F:H, 3, FALSE)</f>
        <v>EUR</v>
      </c>
      <c r="N8" s="50" t="s">
        <v>262</v>
      </c>
      <c r="O8" s="49" t="str">
        <f>IF(NOT(ISBLANK('FY2023 MEDEVAC Tracker'!$HU8)), 'FY2023 MEDEVAC Tracker'!$HU8, IF(NOT(ISBLANK('FY2023 MEDEVAC Tracker'!$HC8)), 'FY2023 MEDEVAC Tracker'!$HC8, IF(NOT(ISBLANK('FY2023 MEDEVAC Tracker'!$GK8)), 'FY2023 MEDEVAC Tracker'!$GK8, IF(NOT(ISBLANK('FY2023 MEDEVAC Tracker'!$FS8)), 'FY2023 MEDEVAC Tracker'!$FS8, IF(NOT(ISBLANK('FY2023 MEDEVAC Tracker'!$FA8)), 'FY2023 MEDEVAC Tracker'!$FA8, IF(NOT(ISBLANK('FY2023 MEDEVAC Tracker'!$EI8)), 'FY2023 MEDEVAC Tracker'!$EI8, IF(NOT(ISBLANK('FY2023 MEDEVAC Tracker'!$DQ8)), 'FY2023 MEDEVAC Tracker'!$DQ8, IF(NOT(ISBLANK('FY2023 MEDEVAC Tracker'!$CY8)), 'FY2023 MEDEVAC Tracker'!$CY8, IF(NOT(ISBLANK('FY2023 MEDEVAC Tracker'!$CG8)), 'FY2023 MEDEVAC Tracker'!$CG8, IF(NOT(ISBLANK('FY2023 MEDEVAC Tracker'!$BO8)), 'FY2023 MEDEVAC Tracker'!$BO8, IF(NOT(ISBLANK('FY2023 MEDEVAC Tracker'!$AU8)), 'FY2023 MEDEVAC Tracker'!$AU8, IF(NOT(ISBLANK('FY2023 MEDEVAC Tracker'!$V8)), 'FY2023 MEDEVAC Tracker'!$V8, 'FY2023 MEDEVAC Tracker'!$V8))))))))))))</f>
        <v>LONDON</v>
      </c>
      <c r="P8" s="50" t="s">
        <v>263</v>
      </c>
      <c r="Q8" s="49">
        <f>IF(NOT(ISBLANK('FY2023 MEDEVAC Tracker'!#REF!)), 10, IF(NOT(ISBLANK('FY2023 MEDEVAC Tracker'!#REF!)), 9, IF(NOT(ISBLANK('FY2023 MEDEVAC Tracker'!#REF!)), 8, IF(NOT(ISBLANK('FY2023 MEDEVAC Tracker'!#REF!)), 7, IF(NOT(ISBLANK('FY2023 MEDEVAC Tracker'!#REF!)), 6, IF(NOT(ISBLANK('FY2023 MEDEVAC Tracker'!#REF!)), 5, IF(NOT(ISBLANK('FY2023 MEDEVAC Tracker'!#REF!)), 4, IF(NOT(ISBLANK('FY2023 MEDEVAC Tracker'!#REF!)), 3, IF(NOT(ISBLANK('FY2023 MEDEVAC Tracker'!#REF!)), 2, IF(NOT(ISBLANK('FY2023 MEDEVAC Tracker'!#REF!)), 1, 0))))))))))</f>
        <v>10</v>
      </c>
      <c r="R8" s="50" t="str">
        <f>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0)))))&lt;30, "0-30", 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0)))))&lt;60, "31-60", 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0)))))&lt;=90, "61-90", IF(IF(NOT(ISBLANK('FY2023 MEDEVAC Tracker'!$ED8)), 'FY2023 MEDEVAC Tracker'!$ED8-'FY2023 MEDEVAC Tracker'!#REF!, IF(NOT(ISBLANK('FY2023 MEDEVAC Tracker'!$DL8)), 'FY2023 MEDEVAC Tracker'!$DL8-'FY2023 MEDEVAC Tracker'!#REF!, IF(NOT(ISBLANK('FY2023 MEDEVAC Tracker'!$CT8)), 'FY2023 MEDEVAC Tracker'!$CT8-'FY2023 MEDEVAC Tracker'!#REF!, IF(NOT(ISBLANK('FY2023 MEDEVAC Tracker'!$CB8)), 'FY2023 MEDEVAC Tracker'!$CB8-'FY2023 MEDEVAC Tracker'!#REF!, IF(NOT(ISBLANK('FY2023 MEDEVAC Tracker'!$AO8)), 'FY2023 MEDEVAC Tracker'!$AO8-'FY2023 MEDEVAC Tracker'!#REF!, 0)))))&gt;90, "91+", "N/A"))))</f>
        <v>0-30</v>
      </c>
      <c r="S8" s="53">
        <v>44851</v>
      </c>
      <c r="T8" s="53">
        <v>44857</v>
      </c>
      <c r="U8" s="71">
        <f>_xlfn.DAYS('FY2023 MEDEVAC Tracker'!$T8,'FY2023 MEDEVAC Tracker'!$S8)+1</f>
        <v>7</v>
      </c>
      <c r="V8" s="54" t="s">
        <v>264</v>
      </c>
      <c r="W8" s="53">
        <v>44837</v>
      </c>
      <c r="X8" s="53">
        <v>44851</v>
      </c>
      <c r="Y8" s="54" t="s">
        <v>265</v>
      </c>
      <c r="Z8" s="49">
        <f>IF(OR(ISBLANK('FY2023 MEDEVAC Tracker'!$W8), ISBLANK('FY2023 MEDEVAC Tracker'!$X8)), "N/A", (NETWORKDAYS('FY2023 MEDEVAC Tracker'!$W8,'FY2023 MEDEVAC Tracker'!$X8)+1))</f>
        <v>12</v>
      </c>
      <c r="AA8" s="55">
        <v>439</v>
      </c>
      <c r="AB8" s="54">
        <v>7</v>
      </c>
      <c r="AC8" s="54"/>
      <c r="AD8" s="54"/>
      <c r="AE8" s="54"/>
      <c r="AF8" s="54"/>
      <c r="AG8" s="54"/>
      <c r="AH8" s="54"/>
      <c r="AI8" s="55">
        <v>1000</v>
      </c>
      <c r="AJ8" s="51" t="e">
        <f>('FY2023 MEDEVAC Tracker'!$AA8*[1]AH11Tracker!$AB8)+('FY2023 MEDEVAC Tracker'!$AC8*'FY2023 MEDEVAC Tracker'!$AD8)+('FY2023 MEDEVAC Tracker'!$AE8*'FY2023 MEDEVAC Tracker'!$AF8)+('FY2023 MEDEVAC Tracker'!$AG8*'FY2023 MEDEVAC Tracker'!$AH8)</f>
        <v>#REF!</v>
      </c>
      <c r="AK8" s="51">
        <v>0</v>
      </c>
      <c r="AL8" s="55">
        <v>300</v>
      </c>
      <c r="AM8" s="51" t="e">
        <f>'FY2023 MEDEVAC Tracker'!$AJ8+'FY2023 MEDEVAC Tracker'!$AK8+'FY2023 MEDEVAC Tracker'!$AL8</f>
        <v>#REF!</v>
      </c>
      <c r="AN8" s="56" t="e">
        <f>AI8+AM8</f>
        <v>#REF!</v>
      </c>
      <c r="AO8" s="57"/>
      <c r="AP8" s="58">
        <v>44854</v>
      </c>
      <c r="AQ8" s="57"/>
      <c r="AR8" s="57"/>
      <c r="AS8" s="57"/>
      <c r="AT8" s="49" t="str">
        <f>IF(OR(ISBLANK('FY2023 MEDEVAC Tracker'!$AQ8), ISBLANK('FY2023 MEDEVAC Tracker'!$AR8)), "N/A",'FY2023 MEDEVAC Tracker'!$AR8-'FY2023 MEDEVAC Tracker'!$AQ8)</f>
        <v>N/A</v>
      </c>
      <c r="AU8" s="59"/>
      <c r="AV8" s="57"/>
      <c r="AW8" s="57"/>
      <c r="AX8" s="57"/>
      <c r="AY8" s="57"/>
      <c r="AZ8" s="57"/>
      <c r="BA8" s="57"/>
      <c r="BB8" s="57"/>
      <c r="BC8" s="57"/>
      <c r="BD8" s="57"/>
      <c r="BE8" s="60">
        <v>0</v>
      </c>
      <c r="BF8" s="57"/>
      <c r="BG8" s="51">
        <f>IF(ISBLANK('FY2023 MEDEVAC Tracker'!$BD8), 0, BD8-'FY2023 MEDEVAC Tracker'!$AI8)</f>
        <v>0</v>
      </c>
      <c r="BH8" s="51">
        <f>MAX(0,IF(ISBLANK(AO8), 0, (((AV8*AW8)+(AX8*AY8)+(AZ8*BA8)+(BB8*BC8)+BE8+BF8)-AM8)))</f>
        <v>0</v>
      </c>
      <c r="BI8" s="51">
        <f>IF(ISBLANK('FY2023 MEDEVAC Tracker'!$AO8), 0, SUM(AN8,BG8,BH8))</f>
        <v>0</v>
      </c>
      <c r="BJ8" s="61"/>
      <c r="BK8" s="61"/>
      <c r="BL8" s="61"/>
      <c r="BM8" s="61"/>
      <c r="BN8" s="49" t="str">
        <f>IF(OR(ISBLANK('FY2023 MEDEVAC Tracker'!$BK8), ISBLANK('FY2023 MEDEVAC Tracker'!$BL8)), "N/A",'FY2023 MEDEVAC Tracker'!$BL8-'FY2023 MEDEVAC Tracker'!$BK8)</f>
        <v>N/A</v>
      </c>
      <c r="BO8" s="61"/>
      <c r="BP8" s="61"/>
      <c r="BQ8" s="61"/>
      <c r="BR8" s="61"/>
      <c r="BS8" s="61"/>
      <c r="BT8" s="61"/>
      <c r="BU8" s="61"/>
      <c r="BV8" s="61"/>
      <c r="BW8" s="61"/>
      <c r="BX8" s="61"/>
      <c r="BY8" s="51">
        <v>0</v>
      </c>
      <c r="BZ8" s="51">
        <f>((BP8*BQ8)+(BR8*BS8)+(BT8*BU8)+(BV8*BW8))+BY8</f>
        <v>0</v>
      </c>
      <c r="CA8" s="51">
        <f>BZ8+BX8</f>
        <v>0</v>
      </c>
      <c r="CB8" s="62"/>
      <c r="CC8" s="62"/>
      <c r="CD8" s="62"/>
      <c r="CE8" s="62"/>
      <c r="CF8" s="49" t="str">
        <f>IF(OR(ISBLANK('FY2023 MEDEVAC Tracker'!$CC8), ISBLANK('FY2023 MEDEVAC Tracker'!$CD8)), "N/A",'FY2023 MEDEVAC Tracker'!$CD8-'FY2023 MEDEVAC Tracker'!$CC8)</f>
        <v>N/A</v>
      </c>
      <c r="CG8" s="62"/>
      <c r="CH8" s="62"/>
      <c r="CI8" s="62"/>
      <c r="CJ8" s="62"/>
      <c r="CK8" s="62"/>
      <c r="CL8" s="62"/>
      <c r="CM8" s="62"/>
      <c r="CN8" s="62"/>
      <c r="CO8" s="62"/>
      <c r="CP8" s="62"/>
      <c r="CQ8" s="51">
        <v>0</v>
      </c>
      <c r="CR8" s="51">
        <f>((CH8*CI8)+(CJ8*CK8)+(CL8*CM8)+(CN8*CO8))+CQ8</f>
        <v>0</v>
      </c>
      <c r="CS8" s="51">
        <f>CR8+CP8</f>
        <v>0</v>
      </c>
      <c r="CT8" s="57"/>
      <c r="CU8" s="57"/>
      <c r="CV8" s="57"/>
      <c r="CW8" s="57"/>
      <c r="CX8" s="49" t="str">
        <f>IF(OR(ISBLANK('FY2023 MEDEVAC Tracker'!$CU8), ISBLANK('FY2023 MEDEVAC Tracker'!$CV8)), "N/A",'FY2023 MEDEVAC Tracker'!$CV8-'FY2023 MEDEVAC Tracker'!$CU8)</f>
        <v>N/A</v>
      </c>
      <c r="CY8" s="57"/>
      <c r="CZ8" s="57"/>
      <c r="DA8" s="57"/>
      <c r="DB8" s="57"/>
      <c r="DC8" s="57"/>
      <c r="DD8" s="57"/>
      <c r="DE8" s="57"/>
      <c r="DF8" s="57"/>
      <c r="DG8" s="57"/>
      <c r="DH8" s="57"/>
      <c r="DI8" s="51">
        <v>0</v>
      </c>
      <c r="DJ8" s="51">
        <f>((CZ8*DA8)+(DB8*DC8)+(DD8*DE8)+(DF8*DG8))+DI8</f>
        <v>0</v>
      </c>
      <c r="DK8" s="51">
        <f>DJ8+DH8</f>
        <v>0</v>
      </c>
      <c r="DL8" s="62"/>
      <c r="DM8" s="62"/>
      <c r="DN8" s="62"/>
      <c r="DO8" s="62"/>
      <c r="DP8" s="49" t="str">
        <f>IF(OR(ISBLANK('FY2023 MEDEVAC Tracker'!$DM8), ISBLANK('FY2023 MEDEVAC Tracker'!$DN8)), "N/A",'FY2023 MEDEVAC Tracker'!$DN8-'FY2023 MEDEVAC Tracker'!$DM8)</f>
        <v>N/A</v>
      </c>
      <c r="DQ8" s="62"/>
      <c r="DR8" s="62"/>
      <c r="DS8" s="62"/>
      <c r="DT8" s="62"/>
      <c r="DU8" s="62"/>
      <c r="DV8" s="62"/>
      <c r="DW8" s="62"/>
      <c r="DX8" s="62"/>
      <c r="DY8" s="62"/>
      <c r="DZ8" s="62"/>
      <c r="EA8" s="51">
        <v>0</v>
      </c>
      <c r="EB8" s="51">
        <f>((DR8*DS8)+(DT8*DU8)+(DV8*DW8)+(DX8*DY8))+EA8</f>
        <v>0</v>
      </c>
      <c r="EC8" s="51">
        <f>EB8+DZ8</f>
        <v>0</v>
      </c>
      <c r="ED8" s="50"/>
      <c r="EE8" s="50"/>
      <c r="EF8" s="50"/>
      <c r="EG8" s="50"/>
      <c r="EH8" s="49" t="str">
        <f>IF(OR(ISBLANK('FY2023 MEDEVAC Tracker'!$EE8), ISBLANK('FY2023 MEDEVAC Tracker'!$EF8)), "N/A",'FY2023 MEDEVAC Tracker'!$EF8-'FY2023 MEDEVAC Tracker'!$EE8)</f>
        <v>N/A</v>
      </c>
      <c r="EI8" s="50"/>
      <c r="EJ8" s="50"/>
      <c r="EK8" s="50"/>
      <c r="EL8" s="50"/>
      <c r="EM8" s="50"/>
      <c r="EN8" s="50"/>
      <c r="EO8" s="50"/>
      <c r="EP8" s="50"/>
      <c r="EQ8" s="50"/>
      <c r="ER8" s="50"/>
      <c r="ES8" s="51">
        <v>0</v>
      </c>
      <c r="ET8" s="51">
        <f>((EJ8*EK8)+(EL8*EM8)+(EN8*EO8)+(EP8*EQ8))+ES8</f>
        <v>0</v>
      </c>
      <c r="EU8" s="51">
        <f>ET8+ER8</f>
        <v>0</v>
      </c>
      <c r="EV8" s="54"/>
      <c r="EW8" s="54"/>
      <c r="EX8" s="54"/>
      <c r="EY8" s="54"/>
      <c r="EZ8" s="49" t="str">
        <f>IF(OR(ISBLANK('FY2023 MEDEVAC Tracker'!$EE8), ISBLANK('FY2023 MEDEVAC Tracker'!$EF8)), "N/A",'FY2023 MEDEVAC Tracker'!$EF8-'FY2023 MEDEVAC Tracker'!$EE8)</f>
        <v>N/A</v>
      </c>
      <c r="FA8" s="54"/>
      <c r="FB8" s="54"/>
      <c r="FC8" s="54"/>
      <c r="FD8" s="54"/>
      <c r="FE8" s="54"/>
      <c r="FF8" s="54"/>
      <c r="FG8" s="54"/>
      <c r="FH8" s="54"/>
      <c r="FI8" s="54"/>
      <c r="FJ8" s="54"/>
      <c r="FK8" s="51">
        <v>0</v>
      </c>
      <c r="FL8" s="51">
        <f>((FT8*FU8)+(FV8*FW8)+(FF8*FG8)+(FH8*FI8))+FK8</f>
        <v>0</v>
      </c>
      <c r="FM8" s="51">
        <f>FL8+FJ8</f>
        <v>0</v>
      </c>
      <c r="FN8" s="63"/>
      <c r="FO8" s="63"/>
      <c r="FP8" s="63"/>
      <c r="FQ8" s="63"/>
      <c r="FR8" s="49" t="str">
        <f>IF(OR(ISBLANK('FY2023 MEDEVAC Tracker'!$EE8), ISBLANK('FY2023 MEDEVAC Tracker'!$EF8)), "N/A",'FY2023 MEDEVAC Tracker'!$EF8-'FY2023 MEDEVAC Tracker'!$EE8)</f>
        <v>N/A</v>
      </c>
      <c r="FS8" s="63"/>
      <c r="FT8" s="63"/>
      <c r="FU8" s="63"/>
      <c r="FV8" s="63"/>
      <c r="FW8" s="63"/>
      <c r="FX8" s="63"/>
      <c r="FY8" s="63"/>
      <c r="FZ8" s="63"/>
      <c r="GA8" s="63"/>
      <c r="GB8" s="63"/>
      <c r="GC8" s="51">
        <v>0</v>
      </c>
      <c r="GD8" s="51">
        <v>0</v>
      </c>
      <c r="GE8" s="51">
        <f>GD8+GB8</f>
        <v>0</v>
      </c>
      <c r="GF8" s="61"/>
      <c r="GG8" s="61"/>
      <c r="GH8" s="61"/>
      <c r="GI8" s="61"/>
      <c r="GJ8" s="49" t="str">
        <f>IF(OR(ISBLANK('FY2023 MEDEVAC Tracker'!$GH8), ISBLANK('FY2023 MEDEVAC Tracker'!$GG8)), "N/A",'FY2023 MEDEVAC Tracker'!$GG8-'FY2023 MEDEVAC Tracker'!$GH8)</f>
        <v>N/A</v>
      </c>
      <c r="GK8" s="61"/>
      <c r="GL8" s="61"/>
      <c r="GM8" s="61"/>
      <c r="GN8" s="61"/>
      <c r="GO8" s="61"/>
      <c r="GP8" s="61"/>
      <c r="GQ8" s="61"/>
      <c r="GR8" s="61"/>
      <c r="GS8" s="61"/>
      <c r="GT8" s="61"/>
      <c r="GU8" s="51">
        <v>0</v>
      </c>
      <c r="GV8" s="51">
        <f>((GL8*GM8)+(GN8*GO8)+(GP8*GQ8)+(GR8*GS8))+GU8</f>
        <v>0</v>
      </c>
      <c r="GW8" s="51">
        <f>GV8+GT8</f>
        <v>0</v>
      </c>
      <c r="GX8" s="57"/>
      <c r="GY8" s="57"/>
      <c r="GZ8" s="57"/>
      <c r="HA8" s="57"/>
      <c r="HB8" s="49" t="str">
        <f>IF(OR(ISBLANK('FY2023 MEDEVAC Tracker'!$GY8), ISBLANK('FY2023 MEDEVAC Tracker'!$GZ8)), "N/A",'FY2023 MEDEVAC Tracker'!#REF!-'FY2023 MEDEVAC Tracker'!#REF!)</f>
        <v>N/A</v>
      </c>
      <c r="HC8" s="57"/>
      <c r="HD8" s="57"/>
      <c r="HE8" s="57"/>
      <c r="HF8" s="57"/>
      <c r="HG8" s="57"/>
      <c r="HH8" s="57"/>
      <c r="HI8" s="57"/>
      <c r="HJ8" s="57"/>
      <c r="HK8" s="57"/>
      <c r="HL8" s="57"/>
      <c r="HM8" s="51">
        <v>0</v>
      </c>
      <c r="HN8" s="51">
        <v>0</v>
      </c>
      <c r="HO8" s="51">
        <v>0</v>
      </c>
      <c r="HP8" s="63"/>
      <c r="HQ8" s="63"/>
      <c r="HR8" s="63"/>
      <c r="HS8" s="63"/>
      <c r="HT8" s="49" t="s">
        <v>266</v>
      </c>
      <c r="HU8" s="63"/>
      <c r="HV8" s="63"/>
      <c r="HW8" s="63"/>
      <c r="HX8" s="63"/>
      <c r="HY8" s="63"/>
      <c r="HZ8" s="63"/>
      <c r="IA8" s="63"/>
      <c r="IB8" s="63"/>
      <c r="IC8" s="63"/>
      <c r="ID8" s="63"/>
      <c r="IE8" s="51">
        <v>0</v>
      </c>
      <c r="IF8" s="51">
        <v>0</v>
      </c>
      <c r="IG8" s="51">
        <v>0</v>
      </c>
      <c r="IH8" s="57" t="s">
        <v>267</v>
      </c>
      <c r="II8" s="58">
        <v>44896</v>
      </c>
      <c r="IJ8" s="52">
        <f>IF(ISBLANK('FY2023 MEDEVAC Tracker'!$AO8), 'FY2023 MEDEVAC Tracker'!$H8, 'FY2023 MEDEVAC Tracker'!$AO8)</f>
        <v>44851</v>
      </c>
      <c r="IK8" s="52">
        <f>MAX('FY2023 MEDEVAC Tracker'!$HP8, 'FY2023 MEDEVAC Tracker'!$GX8, 'FY2023 MEDEVAC Tracker'!$GF8, 'FY2023 MEDEVAC Tracker'!$FN8, 'FY2023 MEDEVAC Tracker'!$EV8, 'FY2023 MEDEVAC Tracker'!$ED8, 'FY2023 MEDEVAC Tracker'!$DL8, 'FY2023 MEDEVAC Tracker'!$CT8, 'FY2023 MEDEVAC Tracker'!$CB8, 'FY2023 MEDEVAC Tracker'!$BJ8, 'FY2023 MEDEVAC Tracker'!$AP8, 'FY2023 MEDEVAC Tracker'!$I8)</f>
        <v>44857</v>
      </c>
      <c r="IL8" s="64">
        <v>1034.69</v>
      </c>
      <c r="IM8" s="64">
        <v>1471.77</v>
      </c>
      <c r="IN8" s="51">
        <f>IM8+IL8</f>
        <v>2506.46</v>
      </c>
      <c r="IO8" s="51" t="e">
        <f>G8-IN8</f>
        <v>#REF!</v>
      </c>
      <c r="IP8" s="65"/>
      <c r="IQ8" s="66">
        <v>44887</v>
      </c>
      <c r="JG8" s="2"/>
      <c r="JH8" s="2"/>
      <c r="JI8" s="2"/>
      <c r="JJ8" s="2"/>
      <c r="JK8" s="2"/>
      <c r="JL8" s="2"/>
      <c r="JM8" s="2"/>
      <c r="JN8" s="2"/>
      <c r="JO8" s="2"/>
      <c r="JP8" s="2"/>
      <c r="JQ8" s="2"/>
      <c r="JR8" s="2"/>
      <c r="JS8" s="2"/>
      <c r="JT8" s="2"/>
      <c r="JU8" s="2"/>
    </row>
    <row r="9" spans="1:301" ht="15.75" x14ac:dyDescent="0.25">
      <c r="A9" s="2"/>
      <c r="B9" s="48" t="str">
        <f>IF(NOT(ISBLANK('FY2023 MEDEVAC Tracker'!$IH9)), IH9, IF(NOT(ISBLANK('FY2023 MEDEVAC Tracker'!$HR9)), "10th Extension Funding Out", IF(NOT(ISBLANK('FY2023 MEDEVAC Tracker'!$GZ9)), "9th Extension Funding Out", IF(NOT(ISBLANK('FY2023 MEDEVAC Tracker'!$GH9)), "8th Extension Funding Out", IF(NOT(ISBLANK('FY2023 MEDEVAC Tracker'!$FP9)), "7th Extension Funding Out", IF(NOT(ISBLANK('FY2023 MEDEVAC Tracker'!$EX9)), "6th Extension Funding Out", IF(NOT(ISBLANK('FY2023 MEDEVAC Tracker'!$EF9)), "5th Extension Funding Out", IF(NOT(ISBLANK('FY2023 MEDEVAC Tracker'!$EE9)), "5th Extension In Processing", IF(NOT(ISBLANK('FY2023 MEDEVAC Tracker'!$DN9)), "4th Extension Funding Out", IF(NOT(ISBLANK('FY2023 MEDEVAC Tracker'!$DM9)), "4th Extension In Processing",IF(NOT(ISBLANK('FY2023 MEDEVAC Tracker'!$CV9)), "3rd Extension Funding Out", IF(NOT(ISBLANK('FY2023 MEDEVAC Tracker'!$CU9)), "3rd Extension In Processing", IF(NOT(ISBLANK('FY2023 MEDEVAC Tracker'!$CD9)), "2nd Extension Funding Out",  IF(NOT(ISBLANK('FY2023 MEDEVAC Tracker'!$CC9)), "2nd Extension In Processing", IF(NOT(ISBLANK('FY2023 MEDEVAC Tracker'!$BL9)), "1st Extension Funding Out", IF(NOT(ISBLANK('FY2023 MEDEVAC Tracker'!$BK9)), "1st Extension In Processing", IF(NOT(ISBLANK('FY2023 MEDEVAC Tracker'!$AR9)), "Amendment Funding Out", IF(NOT(ISBLANK('FY2023 MEDEVAC Tracker'!$AQ9)), "Amendment In Processing", IF(NOT(ISBLANK('FY2023 MEDEVAC Tracker'!$X9)), "Initial Funding Out", IF(NOT(ISBLANK('FY2023 MEDEVAC Tracker'!$W9)), "Initial In Processing", IF(NOT(ISBLANK('FY2023 MEDEVAC Tracker'!$W9)), "Initiated", "N/A")))))))))))))))))))))</f>
        <v>Terminated</v>
      </c>
      <c r="C9" s="49" t="str">
        <f ca="1">IF(NOT(ISBLANK('FY2023 MEDEVAC Tracker'!$HP9)), IF(ISBLANK('FY2023 MEDEVAC Tracker'!$HQ9), "N/A", IF(ISBLANK('FY2023 MEDEVAC Tracker'!$HR9), TODAY()-'FY2023 MEDEVAC Tracker'!$HQ9, "Sent")), IF(NOT(ISBLANK('FY2023 MEDEVAC Tracker'!$GX9)), IF(ISBLANK('FY2023 MEDEVAC Tracker'!$GY9), "N/A", IF(ISBLANK('FY2023 MEDEVAC Tracker'!$GZ9), TODAY()-'FY2023 MEDEVAC Tracker'!$GY9, "Sent")), IF(NOT(ISBLANK('FY2023 MEDEVAC Tracker'!$GF9)), IF(ISBLANK('FY2023 MEDEVAC Tracker'!$GG9), "N/A", IF(ISBLANK('FY2023 MEDEVAC Tracker'!$GH9), TODAY()-'FY2023 MEDEVAC Tracker'!$GG9, "Sent")), IF(NOT(ISBLANK('FY2023 MEDEVAC Tracker'!$FN9)), IF(ISBLANK('FY2023 MEDEVAC Tracker'!$FO9), "N/A", IF(ISBLANK('FY2023 MEDEVAC Tracker'!$FP9), TODAY()-'FY2023 MEDEVAC Tracker'!$FO9, "Sent")), IF(NOT(ISBLANK('FY2023 MEDEVAC Tracker'!$EV9)), IF(ISBLANK('FY2023 MEDEVAC Tracker'!$EW9), "N/A", IF(ISBLANK('FY2023 MEDEVAC Tracker'!$EX9), TODAY()-'FY2023 MEDEVAC Tracker'!$EW9, "Sent")), IF(NOT(ISBLANK('FY2023 MEDEVAC Tracker'!$ED9)), IF(ISBLANK('FY2023 MEDEVAC Tracker'!$EE9), "N/A", IF(ISBLANK('FY2023 MEDEVAC Tracker'!$EF9), TODAY()-'FY2023 MEDEVAC Tracker'!$EE9, "Sent")), IF(NOT(ISBLANK('FY2023 MEDEVAC Tracker'!$DL9)), IF(ISBLANK('FY2023 MEDEVAC Tracker'!$DM9), "N/A", IF(ISBLANK('FY2023 MEDEVAC Tracker'!$DN9), TODAY()-'FY2023 MEDEVAC Tracker'!$DM9, "Sent")), IF(NOT(ISBLANK('FY2023 MEDEVAC Tracker'!$CT9)), IF(ISBLANK('FY2023 MEDEVAC Tracker'!$CU9), "N/A", IF(ISBLANK('FY2023 MEDEVAC Tracker'!$CV9), TODAY()-'FY2023 MEDEVAC Tracker'!$CU9, "Sent")),IF(NOT(ISBLANK('FY2023 MEDEVAC Tracker'!$CB9)), IF(ISBLANK('FY2023 MEDEVAC Tracker'!$CC9), "N/A", IF(ISBLANK('FY2023 MEDEVAC Tracker'!$CD9), TODAY()-'FY2023 MEDEVAC Tracker'!$CC9, "Sent")),IF(NOT(ISBLANK('FY2023 MEDEVAC Tracker'!$BJ9)), IF(ISBLANK('FY2023 MEDEVAC Tracker'!$BK9), "N/A", IF(ISBLANK('FY2023 MEDEVAC Tracker'!$BL9), TODAY()-'FY2023 MEDEVAC Tracker'!$BK9, "Sent")), IF(NOT(ISBLANK('FY2023 MEDEVAC Tracker'!$AP9)), IF(ISBLANK('FY2023 MEDEVAC Tracker'!$AQ9), "N/A", IF(ISBLANK('FY2023 MEDEVAC Tracker'!$AR9), TODAY()-'FY2023 MEDEVAC Tracker'!$AQ9, "Sent")), IF(NOT(ISBLANK('FY2023 MEDEVAC Tracker'!$I9)), IF(ISBLANK('FY2023 MEDEVAC Tracker'!$W9), "N/A", IF(ISBLANK('FY2023 MEDEVAC Tracker'!$X9), TODAY()-'FY2023 MEDEVAC Tracker'!$W9, "Sent")),"N/A"))))))))))))</f>
        <v>Sent</v>
      </c>
      <c r="D9" s="70">
        <f ca="1">_xlfn.NUMBERVALUE(CONCATENATE(RIGHT(YEAR((TODAY()-860)), 3), IF(OR('FY2023 MEDEVAC Tracker'!$E9="DOS", 'FY2023 MEDEVAC Tracker'!$E9="Seabee", 'FY2023 MEDEVAC Tracker'!$E9="DOS/Seabee"),10, 90), TEXT(((COUNTIF($E$8:E12, E9))-1),"000")))</f>
        <v>2390000</v>
      </c>
      <c r="E9" s="50" t="s">
        <v>268</v>
      </c>
      <c r="F9" s="50" t="s">
        <v>925</v>
      </c>
      <c r="G9" s="51" t="e">
        <f>IF(ISBLANK('FY2023 MEDEVAC Tracker'!$AO9), 'FY2023 MEDEVAC Tracker'!$AN9, 'FY2023 MEDEVAC Tracker'!$BI9)+'FY2023 MEDEVAC Tracker'!$CA9+'FY2023 MEDEVAC Tracker'!$CS9+'FY2023 MEDEVAC Tracker'!$DK9+'FY2023 MEDEVAC Tracker'!$EC9+'FY2023 MEDEVAC Tracker'!$EU9+'FY2023 MEDEVAC Tracker'!$FM9+'FY2023 MEDEVAC Tracker'!$GE9+'FY2023 MEDEVAC Tracker'!$GW9+'FY2023 MEDEVAC Tracker'!$HO9+'FY2023 MEDEVAC Tracker'!$IG9</f>
        <v>#REF!</v>
      </c>
      <c r="H9" s="52">
        <f>IF(ISBLANK('FY2023 MEDEVAC Tracker'!$AO9), 'FY2023 MEDEVAC Tracker'!$S9, 'FY2023 MEDEVAC Tracker'!$AO9)</f>
        <v>44837</v>
      </c>
      <c r="I9" s="52">
        <f>MAX('FY2023 MEDEVAC Tracker'!$T9, 'FY2023 MEDEVAC Tracker'!$AP9, 'FY2023 MEDEVAC Tracker'!$BJ9,  'FY2023 MEDEVAC Tracker'!$CB9,  'FY2023 MEDEVAC Tracker'!$CT9,  'FY2023 MEDEVAC Tracker'!$DL9,  'FY2023 MEDEVAC Tracker'!$ED9,  'FY2023 MEDEVAC Tracker'!$EV9,  'FY2023 MEDEVAC Tracker'!$FN9,  'FY2023 MEDEVAC Tracker'!$GF9,  'FY2023 MEDEVAC Tracker'!$GX9,  'FY2023 MEDEVAC Tracker'!$HP9, )</f>
        <v>44839</v>
      </c>
      <c r="J9" s="50" t="s">
        <v>269</v>
      </c>
      <c r="K9" s="50" t="s">
        <v>261</v>
      </c>
      <c r="L9" s="50" t="s">
        <v>261</v>
      </c>
      <c r="M9" s="49" t="str">
        <f>VLOOKUP('FY2023 MEDEVAC Tracker'!$N9, List!F:H, 3, FALSE)</f>
        <v>EUR</v>
      </c>
      <c r="N9" s="50" t="s">
        <v>270</v>
      </c>
      <c r="O9" s="49" t="str">
        <f>IF(NOT(ISBLANK('FY2023 MEDEVAC Tracker'!$HU9)), 'FY2023 MEDEVAC Tracker'!$HU9, IF(NOT(ISBLANK('FY2023 MEDEVAC Tracker'!$HC9)), 'FY2023 MEDEVAC Tracker'!$HC9, IF(NOT(ISBLANK('FY2023 MEDEVAC Tracker'!$GK9)), 'FY2023 MEDEVAC Tracker'!$GK9, IF(NOT(ISBLANK('FY2023 MEDEVAC Tracker'!$FS9)), 'FY2023 MEDEVAC Tracker'!$FS9, IF(NOT(ISBLANK('FY2023 MEDEVAC Tracker'!$FA9)), 'FY2023 MEDEVAC Tracker'!$FA9, IF(NOT(ISBLANK('FY2023 MEDEVAC Tracker'!$EI9)), 'FY2023 MEDEVAC Tracker'!$EI9, IF(NOT(ISBLANK('FY2023 MEDEVAC Tracker'!$DQ9)), 'FY2023 MEDEVAC Tracker'!$DQ9, IF(NOT(ISBLANK('FY2023 MEDEVAC Tracker'!$CY9)), 'FY2023 MEDEVAC Tracker'!$CY9, IF(NOT(ISBLANK('FY2023 MEDEVAC Tracker'!$CG9)), 'FY2023 MEDEVAC Tracker'!$CG9, IF(NOT(ISBLANK('FY2023 MEDEVAC Tracker'!$BO9)), 'FY2023 MEDEVAC Tracker'!$BO9, IF(NOT(ISBLANK('FY2023 MEDEVAC Tracker'!$AU9)), 'FY2023 MEDEVAC Tracker'!$AU9, IF(NOT(ISBLANK('FY2023 MEDEVAC Tracker'!$V9)), 'FY2023 MEDEVAC Tracker'!$V9, 'FY2023 MEDEVAC Tracker'!$V9))))))))))))</f>
        <v>WASHINGTON, DC</v>
      </c>
      <c r="P9" s="50" t="s">
        <v>271</v>
      </c>
      <c r="Q9" s="49">
        <f>IF(NOT(ISBLANK('FY2023 MEDEVAC Tracker'!#REF!)), 10, IF(NOT(ISBLANK('FY2023 MEDEVAC Tracker'!#REF!)), 9, IF(NOT(ISBLANK('FY2023 MEDEVAC Tracker'!#REF!)), 8, IF(NOT(ISBLANK('FY2023 MEDEVAC Tracker'!#REF!)), 7, IF(NOT(ISBLANK('FY2023 MEDEVAC Tracker'!#REF!)), 6, IF(NOT(ISBLANK('FY2023 MEDEVAC Tracker'!#REF!)), 5, IF(NOT(ISBLANK('FY2023 MEDEVAC Tracker'!#REF!)), 4, IF(NOT(ISBLANK('FY2023 MEDEVAC Tracker'!#REF!)), 3, IF(NOT(ISBLANK('FY2023 MEDEVAC Tracker'!#REF!)), 2, IF(NOT(ISBLANK('FY2023 MEDEVAC Tracker'!#REF!)), 1, 0))))))))))</f>
        <v>10</v>
      </c>
      <c r="R9" s="50" t="str">
        <f>IF(IF(NOT(ISBLANK('FY2023 MEDEVAC Tracker'!$ED9)), 'FY2023 MEDEVAC Tracker'!$ED9-'FY2023 MEDEVAC Tracker'!#REF!, IF(NOT(ISBLANK('FY2023 MEDEVAC Tracker'!$DL9)), 'FY2023 MEDEVAC Tracker'!$DL9-'FY2023 MEDEVAC Tracker'!#REF!, IF(NOT(ISBLANK('FY2023 MEDEVAC Tracker'!$CT9)), 'FY2023 MEDEVAC Tracker'!$CT9-'FY2023 MEDEVAC Tracker'!#REF!, IF(NOT(ISBLANK('FY2023 MEDEVAC Tracker'!$CB9)), 'FY2023 MEDEVAC Tracker'!$CB9-'FY2023 MEDEVAC Tracker'!#REF!, IF(NOT(ISBLANK('FY2023 MEDEVAC Tracker'!$AO9)), 'FY2023 MEDEVAC Tracker'!$AO9-'FY2023 MEDEVAC Tracker'!#REF!, 0)))))&lt;30, "0-30", IF(IF(NOT(ISBLANK('FY2023 MEDEVAC Tracker'!$ED9)), 'FY2023 MEDEVAC Tracker'!$ED9-'FY2023 MEDEVAC Tracker'!#REF!, IF(NOT(ISBLANK('FY2023 MEDEVAC Tracker'!$DL9)), 'FY2023 MEDEVAC Tracker'!$DL9-'FY2023 MEDEVAC Tracker'!#REF!, IF(NOT(ISBLANK('FY2023 MEDEVAC Tracker'!$CT9)), 'FY2023 MEDEVAC Tracker'!$CT9-'FY2023 MEDEVAC Tracker'!#REF!, IF(NOT(ISBLANK('FY2023 MEDEVAC Tracker'!$CB9)), 'FY2023 MEDEVAC Tracker'!$CB9-'FY2023 MEDEVAC Tracker'!#REF!, IF(NOT(ISBLANK('FY2023 MEDEVAC Tracker'!$AO9)), 'FY2023 MEDEVAC Tracker'!$AO9-'FY2023 MEDEVAC Tracker'!#REF!, 0)))))&lt;60, "31-60", IF(IF(NOT(ISBLANK('FY2023 MEDEVAC Tracker'!$ED9)), 'FY2023 MEDEVAC Tracker'!$ED9-'FY2023 MEDEVAC Tracker'!#REF!, IF(NOT(ISBLANK('FY2023 MEDEVAC Tracker'!$DL9)), 'FY2023 MEDEVAC Tracker'!$DL9-'FY2023 MEDEVAC Tracker'!#REF!, IF(NOT(ISBLANK('FY2023 MEDEVAC Tracker'!$CT9)), 'FY2023 MEDEVAC Tracker'!$CT9-'FY2023 MEDEVAC Tracker'!#REF!, IF(NOT(ISBLANK('FY2023 MEDEVAC Tracker'!$CB9)), 'FY2023 MEDEVAC Tracker'!$CB9-'FY2023 MEDEVAC Tracker'!#REF!, IF(NOT(ISBLANK('FY2023 MEDEVAC Tracker'!$AO9)), 'FY2023 MEDEVAC Tracker'!$AO9-'FY2023 MEDEVAC Tracker'!#REF!, 0)))))&lt;=90, "61-90", IF(IF(NOT(ISBLANK('FY2023 MEDEVAC Tracker'!$ED9)), 'FY2023 MEDEVAC Tracker'!$ED9-'FY2023 MEDEVAC Tracker'!#REF!, IF(NOT(ISBLANK('FY2023 MEDEVAC Tracker'!$DL9)), 'FY2023 MEDEVAC Tracker'!$DL9-'FY2023 MEDEVAC Tracker'!#REF!, IF(NOT(ISBLANK('FY2023 MEDEVAC Tracker'!$CT9)), 'FY2023 MEDEVAC Tracker'!$CT9-'FY2023 MEDEVAC Tracker'!#REF!, IF(NOT(ISBLANK('FY2023 MEDEVAC Tracker'!$CB9)), 'FY2023 MEDEVAC Tracker'!$CB9-'FY2023 MEDEVAC Tracker'!#REF!, IF(NOT(ISBLANK('FY2023 MEDEVAC Tracker'!$AO9)), 'FY2023 MEDEVAC Tracker'!$AO9-'FY2023 MEDEVAC Tracker'!#REF!, 0)))))&gt;90, "91+", "N/A"))))</f>
        <v>0-30</v>
      </c>
      <c r="S9" s="53">
        <v>44837</v>
      </c>
      <c r="T9" s="53">
        <v>44839</v>
      </c>
      <c r="U9" s="71">
        <f>_xlfn.DAYS('FY2023 MEDEVAC Tracker'!$T9,'FY2023 MEDEVAC Tracker'!$S9)+1</f>
        <v>3</v>
      </c>
      <c r="V9" s="54" t="s">
        <v>272</v>
      </c>
      <c r="W9" s="53">
        <v>44837</v>
      </c>
      <c r="X9" s="53">
        <v>44851</v>
      </c>
      <c r="Y9" s="54" t="s">
        <v>265</v>
      </c>
      <c r="Z9" s="49">
        <f>IF(OR(ISBLANK('FY2023 MEDEVAC Tracker'!$W9), ISBLANK('FY2023 MEDEVAC Tracker'!$X9)), "N/A", (NETWORKDAYS('FY2023 MEDEVAC Tracker'!$W9,'FY2023 MEDEVAC Tracker'!$X9)+1))</f>
        <v>12</v>
      </c>
      <c r="AA9" s="55">
        <v>336</v>
      </c>
      <c r="AB9" s="54">
        <v>3</v>
      </c>
      <c r="AC9" s="54"/>
      <c r="AD9" s="54"/>
      <c r="AE9" s="54"/>
      <c r="AF9" s="54"/>
      <c r="AG9" s="54"/>
      <c r="AH9" s="54"/>
      <c r="AI9" s="55">
        <v>6000</v>
      </c>
      <c r="AJ9" s="51" t="e">
        <f>('FY2023 MEDEVAC Tracker'!$AA9*[1]AH11Tracker!$AB9)+('FY2023 MEDEVAC Tracker'!$AC9*'FY2023 MEDEVAC Tracker'!$AD9)+('FY2023 MEDEVAC Tracker'!$AE9*'FY2023 MEDEVAC Tracker'!$AF9)+('FY2023 MEDEVAC Tracker'!$AG9*'FY2023 MEDEVAC Tracker'!$AH9)</f>
        <v>#REF!</v>
      </c>
      <c r="AK9" s="72">
        <v>1008</v>
      </c>
      <c r="AL9" s="55">
        <v>200</v>
      </c>
      <c r="AM9" s="51" t="e">
        <f>'FY2023 MEDEVAC Tracker'!$AJ9+'FY2023 MEDEVAC Tracker'!$AK9+'FY2023 MEDEVAC Tracker'!$AL9</f>
        <v>#REF!</v>
      </c>
      <c r="AN9" s="56" t="e">
        <f>AI9+AM9</f>
        <v>#REF!</v>
      </c>
      <c r="AO9" s="57"/>
      <c r="AP9" s="57"/>
      <c r="AQ9" s="57"/>
      <c r="AR9" s="57"/>
      <c r="AS9" s="57"/>
      <c r="AT9" s="49" t="str">
        <f>IF(OR(ISBLANK('FY2023 MEDEVAC Tracker'!$AQ9), ISBLANK('FY2023 MEDEVAC Tracker'!$AR9)), "N/A",'FY2023 MEDEVAC Tracker'!$AR9-'FY2023 MEDEVAC Tracker'!$AQ9)</f>
        <v>N/A</v>
      </c>
      <c r="AU9" s="57"/>
      <c r="AV9" s="57"/>
      <c r="AW9" s="57"/>
      <c r="AX9" s="57"/>
      <c r="AY9" s="57"/>
      <c r="AZ9" s="57"/>
      <c r="BA9" s="57"/>
      <c r="BB9" s="57"/>
      <c r="BC9" s="57"/>
      <c r="BD9" s="57"/>
      <c r="BE9" s="72">
        <v>0</v>
      </c>
      <c r="BF9" s="57"/>
      <c r="BG9" s="51">
        <f>IF(ISBLANK('FY2023 MEDEVAC Tracker'!$BD9), 0, BD9-'FY2023 MEDEVAC Tracker'!$AI9)</f>
        <v>0</v>
      </c>
      <c r="BH9" s="51">
        <f>MAX(0,IF(ISBLANK(AO9), 0, (((AV9*AW9)+(AX9*AY9)+(AZ9*BA9)+(BB9*BC9)+BE9+BF9)-AM9)))</f>
        <v>0</v>
      </c>
      <c r="BI9" s="51">
        <f>IF(ISBLANK('FY2023 MEDEVAC Tracker'!$AO9), 0, SUM(AN9,BG9,BH9))</f>
        <v>0</v>
      </c>
      <c r="BJ9" s="61"/>
      <c r="BK9" s="61"/>
      <c r="BL9" s="61"/>
      <c r="BM9" s="61"/>
      <c r="BN9" s="49" t="str">
        <f>IF(OR(ISBLANK('FY2023 MEDEVAC Tracker'!$BK9), ISBLANK('FY2023 MEDEVAC Tracker'!$BL9)), "N/A",'FY2023 MEDEVAC Tracker'!$BL9-'FY2023 MEDEVAC Tracker'!$BK9)</f>
        <v>N/A</v>
      </c>
      <c r="BO9" s="61"/>
      <c r="BP9" s="61"/>
      <c r="BQ9" s="61"/>
      <c r="BR9" s="61"/>
      <c r="BS9" s="61"/>
      <c r="BT9" s="61"/>
      <c r="BU9" s="61"/>
      <c r="BV9" s="61"/>
      <c r="BW9" s="61"/>
      <c r="BX9" s="61"/>
      <c r="BY9" s="72">
        <v>0</v>
      </c>
      <c r="BZ9" s="51">
        <f>((BP9*BQ9)+(BR9*BS9)+(BT9*BU9)+(BV9*BW9))+BY9</f>
        <v>0</v>
      </c>
      <c r="CA9" s="51">
        <f>BZ9+BX9</f>
        <v>0</v>
      </c>
      <c r="CB9" s="62"/>
      <c r="CC9" s="62"/>
      <c r="CD9" s="62"/>
      <c r="CE9" s="62"/>
      <c r="CF9" s="49" t="str">
        <f>IF(OR(ISBLANK('FY2023 MEDEVAC Tracker'!$CC9), ISBLANK('FY2023 MEDEVAC Tracker'!$CD9)), "N/A",'FY2023 MEDEVAC Tracker'!$CD9-'FY2023 MEDEVAC Tracker'!$CC9)</f>
        <v>N/A</v>
      </c>
      <c r="CG9" s="62"/>
      <c r="CH9" s="62"/>
      <c r="CI9" s="62"/>
      <c r="CJ9" s="62"/>
      <c r="CK9" s="62"/>
      <c r="CL9" s="62"/>
      <c r="CM9" s="62"/>
      <c r="CN9" s="62"/>
      <c r="CO9" s="62"/>
      <c r="CP9" s="62"/>
      <c r="CQ9" s="72">
        <v>0</v>
      </c>
      <c r="CR9" s="51">
        <f>((CH9*CI9)+(CJ9*CK9)+(CL9*CM9)+(CN9*CO9))+CQ9</f>
        <v>0</v>
      </c>
      <c r="CS9" s="51">
        <f>CR9+CP9</f>
        <v>0</v>
      </c>
      <c r="CT9" s="57"/>
      <c r="CU9" s="57"/>
      <c r="CV9" s="57"/>
      <c r="CW9" s="57"/>
      <c r="CX9" s="49" t="str">
        <f>IF(OR(ISBLANK('FY2023 MEDEVAC Tracker'!$CU9), ISBLANK('FY2023 MEDEVAC Tracker'!$CV9)), "N/A",'FY2023 MEDEVAC Tracker'!$CV9-'FY2023 MEDEVAC Tracker'!$CU9)</f>
        <v>N/A</v>
      </c>
      <c r="CY9" s="57"/>
      <c r="CZ9" s="57"/>
      <c r="DA9" s="57"/>
      <c r="DB9" s="57"/>
      <c r="DC9" s="57"/>
      <c r="DD9" s="57"/>
      <c r="DE9" s="57"/>
      <c r="DF9" s="57"/>
      <c r="DG9" s="57"/>
      <c r="DH9" s="57"/>
      <c r="DI9" s="72">
        <v>0</v>
      </c>
      <c r="DJ9" s="51">
        <f>((CZ9*DA9)+(DB9*DC9)+(DD9*DE9)+(DF9*DG9))+DI9</f>
        <v>0</v>
      </c>
      <c r="DK9" s="51">
        <f>DJ9+DH9</f>
        <v>0</v>
      </c>
      <c r="DL9" s="62"/>
      <c r="DM9" s="62"/>
      <c r="DN9" s="62"/>
      <c r="DO9" s="62"/>
      <c r="DP9" s="49" t="str">
        <f>IF(OR(ISBLANK('FY2023 MEDEVAC Tracker'!$DM9), ISBLANK('FY2023 MEDEVAC Tracker'!$DN9)), "N/A",'FY2023 MEDEVAC Tracker'!$DN9-'FY2023 MEDEVAC Tracker'!$DM9)</f>
        <v>N/A</v>
      </c>
      <c r="DQ9" s="62"/>
      <c r="DR9" s="62"/>
      <c r="DS9" s="62"/>
      <c r="DT9" s="62"/>
      <c r="DU9" s="62"/>
      <c r="DV9" s="62"/>
      <c r="DW9" s="62"/>
      <c r="DX9" s="62"/>
      <c r="DY9" s="62"/>
      <c r="DZ9" s="62"/>
      <c r="EA9" s="72">
        <v>0</v>
      </c>
      <c r="EB9" s="51">
        <f>((DR9*DS9)+(DT9*DU9)+(DV9*DW9)+(DX9*DY9))+EA9</f>
        <v>0</v>
      </c>
      <c r="EC9" s="51">
        <f>EB9+DZ9</f>
        <v>0</v>
      </c>
      <c r="ED9" s="50"/>
      <c r="EE9" s="50"/>
      <c r="EF9" s="50"/>
      <c r="EG9" s="50"/>
      <c r="EH9" s="49" t="str">
        <f>IF(OR(ISBLANK('FY2023 MEDEVAC Tracker'!$EE9), ISBLANK('FY2023 MEDEVAC Tracker'!$EF9)), "N/A",'FY2023 MEDEVAC Tracker'!$EF9-'FY2023 MEDEVAC Tracker'!$EE9)</f>
        <v>N/A</v>
      </c>
      <c r="EI9" s="50"/>
      <c r="EJ9" s="50"/>
      <c r="EK9" s="50"/>
      <c r="EL9" s="50"/>
      <c r="EM9" s="50"/>
      <c r="EN9" s="50"/>
      <c r="EO9" s="50"/>
      <c r="EP9" s="50"/>
      <c r="EQ9" s="50"/>
      <c r="ER9" s="50"/>
      <c r="ES9" s="51">
        <v>0</v>
      </c>
      <c r="ET9" s="51">
        <f>((EJ9*EK9)+(EL9*EM9)+(EN9*EO9)+(EP9*EQ9))+ES9</f>
        <v>0</v>
      </c>
      <c r="EU9" s="51">
        <f>ET9+ER9</f>
        <v>0</v>
      </c>
      <c r="EV9" s="54"/>
      <c r="EW9" s="54"/>
      <c r="EX9" s="54"/>
      <c r="EY9" s="54"/>
      <c r="EZ9" s="49" t="str">
        <f>IF(OR(ISBLANK('FY2023 MEDEVAC Tracker'!$EE9), ISBLANK('FY2023 MEDEVAC Tracker'!$EF9)), "N/A",'FY2023 MEDEVAC Tracker'!$EF9-'FY2023 MEDEVAC Tracker'!$EE9)</f>
        <v>N/A</v>
      </c>
      <c r="FA9" s="54"/>
      <c r="FB9" s="54"/>
      <c r="FC9" s="54"/>
      <c r="FD9" s="54"/>
      <c r="FE9" s="54"/>
      <c r="FF9" s="54"/>
      <c r="FG9" s="54"/>
      <c r="FH9" s="54"/>
      <c r="FI9" s="54"/>
      <c r="FJ9" s="54"/>
      <c r="FK9" s="51">
        <v>0</v>
      </c>
      <c r="FL9" s="51">
        <f>((FT9*FU9)+(FV9*FW9)+(FF9*FG9)+(FH9*FI9))+FK9</f>
        <v>0</v>
      </c>
      <c r="FM9" s="51">
        <f>FL9+FJ9</f>
        <v>0</v>
      </c>
      <c r="FN9" s="63"/>
      <c r="FO9" s="63"/>
      <c r="FP9" s="63"/>
      <c r="FQ9" s="63"/>
      <c r="FR9" s="49" t="str">
        <f>IF(OR(ISBLANK('FY2023 MEDEVAC Tracker'!$EE9), ISBLANK('FY2023 MEDEVAC Tracker'!$EF9)), "N/A",'FY2023 MEDEVAC Tracker'!$EF9-'FY2023 MEDEVAC Tracker'!$EE9)</f>
        <v>N/A</v>
      </c>
      <c r="FS9" s="63"/>
      <c r="FT9" s="63"/>
      <c r="FU9" s="63"/>
      <c r="FV9" s="63"/>
      <c r="FW9" s="63"/>
      <c r="FX9" s="63"/>
      <c r="FY9" s="63"/>
      <c r="FZ9" s="63"/>
      <c r="GA9" s="63"/>
      <c r="GB9" s="63"/>
      <c r="GC9" s="72">
        <v>0</v>
      </c>
      <c r="GD9" s="51">
        <v>0</v>
      </c>
      <c r="GE9" s="51">
        <f>GD9+GB9</f>
        <v>0</v>
      </c>
      <c r="GF9" s="61"/>
      <c r="GG9" s="61"/>
      <c r="GH9" s="61"/>
      <c r="GI9" s="61"/>
      <c r="GJ9" s="49" t="str">
        <f>IF(OR(ISBLANK('FY2023 MEDEVAC Tracker'!$GH9), ISBLANK('FY2023 MEDEVAC Tracker'!$GG9)), "N/A",'FY2023 MEDEVAC Tracker'!$GG9-'FY2023 MEDEVAC Tracker'!$GH9)</f>
        <v>N/A</v>
      </c>
      <c r="GK9" s="61"/>
      <c r="GL9" s="61"/>
      <c r="GM9" s="61"/>
      <c r="GN9" s="61"/>
      <c r="GO9" s="61"/>
      <c r="GP9" s="61"/>
      <c r="GQ9" s="61"/>
      <c r="GR9" s="61"/>
      <c r="GS9" s="61"/>
      <c r="GT9" s="61"/>
      <c r="GU9" s="51">
        <v>0</v>
      </c>
      <c r="GV9" s="51">
        <f>((GL9*GM9)+(GN9*GO9)+(GP9*GQ9)+(GR9*GS9))+GU9</f>
        <v>0</v>
      </c>
      <c r="GW9" s="51">
        <f>GV9+GT9</f>
        <v>0</v>
      </c>
      <c r="GX9" s="57"/>
      <c r="GY9" s="57"/>
      <c r="GZ9" s="57"/>
      <c r="HA9" s="57"/>
      <c r="HB9" s="49" t="str">
        <f>IF(OR(ISBLANK('FY2023 MEDEVAC Tracker'!$GY9), ISBLANK('FY2023 MEDEVAC Tracker'!$GZ9)), "N/A",'FY2023 MEDEVAC Tracker'!#REF!-'FY2023 MEDEVAC Tracker'!#REF!)</f>
        <v>N/A</v>
      </c>
      <c r="HC9" s="57"/>
      <c r="HD9" s="57"/>
      <c r="HE9" s="57"/>
      <c r="HF9" s="57"/>
      <c r="HG9" s="57"/>
      <c r="HH9" s="57"/>
      <c r="HI9" s="57"/>
      <c r="HJ9" s="57"/>
      <c r="HK9" s="57"/>
      <c r="HL9" s="57"/>
      <c r="HM9" s="51">
        <v>0</v>
      </c>
      <c r="HN9" s="51">
        <v>0</v>
      </c>
      <c r="HO9" s="51">
        <v>0</v>
      </c>
      <c r="HP9" s="63"/>
      <c r="HQ9" s="63"/>
      <c r="HR9" s="63"/>
      <c r="HS9" s="63"/>
      <c r="HT9" s="49"/>
      <c r="HU9" s="63"/>
      <c r="HV9" s="63"/>
      <c r="HW9" s="63"/>
      <c r="HX9" s="63"/>
      <c r="HY9" s="63"/>
      <c r="HZ9" s="63"/>
      <c r="IA9" s="63"/>
      <c r="IB9" s="63"/>
      <c r="IC9" s="63"/>
      <c r="ID9" s="63"/>
      <c r="IE9" s="51">
        <v>0</v>
      </c>
      <c r="IF9" s="51">
        <v>0</v>
      </c>
      <c r="IG9" s="51">
        <v>0</v>
      </c>
      <c r="IH9" s="57" t="s">
        <v>273</v>
      </c>
      <c r="II9" s="57"/>
      <c r="IJ9" s="73">
        <f>IF(ISBLANK('FY2023 MEDEVAC Tracker'!$AO9), 'FY2023 MEDEVAC Tracker'!$H9, 'FY2023 MEDEVAC Tracker'!$AO9)</f>
        <v>44837</v>
      </c>
      <c r="IK9" s="73">
        <f>MAX('FY2023 MEDEVAC Tracker'!$HP9, 'FY2023 MEDEVAC Tracker'!$GX9, 'FY2023 MEDEVAC Tracker'!$GF9, 'FY2023 MEDEVAC Tracker'!$FN9, 'FY2023 MEDEVAC Tracker'!$EV9, 'FY2023 MEDEVAC Tracker'!$ED9, 'FY2023 MEDEVAC Tracker'!$DL9, 'FY2023 MEDEVAC Tracker'!$CT9, 'FY2023 MEDEVAC Tracker'!$CB9, 'FY2023 MEDEVAC Tracker'!$BJ9, 'FY2023 MEDEVAC Tracker'!$AP9, 'FY2023 MEDEVAC Tracker'!$I9)</f>
        <v>44839</v>
      </c>
      <c r="IL9" s="57"/>
      <c r="IM9" s="57"/>
      <c r="IN9" s="51">
        <f>IM9+IL9</f>
        <v>0</v>
      </c>
      <c r="IO9" s="51" t="e">
        <f>G9-IN9</f>
        <v>#REF!</v>
      </c>
      <c r="IP9" s="68" t="s">
        <v>274</v>
      </c>
      <c r="IQ9" s="69">
        <v>44869</v>
      </c>
      <c r="IR9" s="2"/>
      <c r="IS9" s="2"/>
      <c r="IT9" s="2"/>
      <c r="IU9" s="2"/>
      <c r="IV9" s="2"/>
      <c r="IW9" s="2"/>
      <c r="IX9" s="2"/>
      <c r="IY9" s="2"/>
      <c r="IZ9" s="2"/>
      <c r="JA9" s="2"/>
      <c r="JB9" s="2"/>
      <c r="JC9" s="2"/>
      <c r="JD9" s="2"/>
      <c r="JE9" s="2"/>
      <c r="JF9" s="2"/>
      <c r="KE9" s="2"/>
      <c r="KF9" s="2"/>
      <c r="KG9" s="2"/>
      <c r="KH9" s="2"/>
      <c r="KI9" s="2"/>
    </row>
    <row r="10" spans="1:301" ht="15.75" x14ac:dyDescent="0.25">
      <c r="B10" s="67" t="str">
        <f>IF(NOT(ISBLANK('FY2023 MEDEVAC Tracker'!$IH10)), IH10, IF(NOT(ISBLANK('FY2023 MEDEVAC Tracker'!$HR10)), "10th Extension Funding Out", IF(NOT(ISBLANK('FY2023 MEDEVAC Tracker'!$GZ10)), "9th Extension Funding Out", IF(NOT(ISBLANK('FY2023 MEDEVAC Tracker'!$GH10)), "8th Extension Funding Out", IF(NOT(ISBLANK('FY2023 MEDEVAC Tracker'!$FP10)), "7th Extension Funding Out", IF(NOT(ISBLANK('FY2023 MEDEVAC Tracker'!$EX10)), "6th Extension Funding Out", IF(NOT(ISBLANK('FY2023 MEDEVAC Tracker'!$EF10)), "5th Extension Funding Out", IF(NOT(ISBLANK('FY2023 MEDEVAC Tracker'!$EE10)), "5th Extension In Processing", IF(NOT(ISBLANK('FY2023 MEDEVAC Tracker'!$DN10)), "4th Extension Funding Out", IF(NOT(ISBLANK('FY2023 MEDEVAC Tracker'!$DM10)), "4th Extension In Processing",IF(NOT(ISBLANK('FY2023 MEDEVAC Tracker'!$CV10)), "3rd Extension Funding Out", IF(NOT(ISBLANK('FY2023 MEDEVAC Tracker'!$CU10)), "3rd Extension In Processing", IF(NOT(ISBLANK('FY2023 MEDEVAC Tracker'!$CD10)), "2nd Extension Funding Out",  IF(NOT(ISBLANK('FY2023 MEDEVAC Tracker'!$CC10)), "2nd Extension In Processing", IF(NOT(ISBLANK('FY2023 MEDEVAC Tracker'!$BL10)), "1st Extension Funding Out", IF(NOT(ISBLANK('FY2023 MEDEVAC Tracker'!$BK10)), "1st Extension In Processing", IF(NOT(ISBLANK('FY2023 MEDEVAC Tracker'!$AR10)), "Amendment Funding Out", IF(NOT(ISBLANK('FY2023 MEDEVAC Tracker'!$AQ10)), "Amendment In Processing", IF(NOT(ISBLANK('FY2023 MEDEVAC Tracker'!$X10)), "Initial Funding Out", IF(NOT(ISBLANK('FY2023 MEDEVAC Tracker'!$W10)), "Initial In Processing", IF(NOT(ISBLANK('FY2023 MEDEVAC Tracker'!$W10)), "Initiated", "N/A")))))))))))))))))))))</f>
        <v>N/A</v>
      </c>
      <c r="C10" s="49"/>
      <c r="D10" s="49" t="e">
        <f ca="1">_xlfn.NUMBERVALUE(CONCATENATE(RIGHT(YEAR((TODAY()-860)), 3), IF(OR('FY2023 MEDEVAC Tracker'!$E10="DOS", 'FY2023 MEDEVAC Tracker'!$E10="Seabee", 'FY2023 MEDEVAC Tracker'!$E10="DOS/Seabee"),10, 90), TEXT(((COUNTIF($E$8:E10, E10))-1),"000")))</f>
        <v>#VALUE!</v>
      </c>
      <c r="G10" s="51" t="e">
        <f>IF(ISBLANK('FY2023 MEDEVAC Tracker'!$AO10), 'FY2023 MEDEVAC Tracker'!$AN10, 'FY2023 MEDEVAC Tracker'!$BI10)+'FY2023 MEDEVAC Tracker'!$CA10+'FY2023 MEDEVAC Tracker'!$CS10+'FY2023 MEDEVAC Tracker'!$DK10+'FY2023 MEDEVAC Tracker'!$EC10+'FY2023 MEDEVAC Tracker'!$EU10+'FY2023 MEDEVAC Tracker'!$FM10+'FY2023 MEDEVAC Tracker'!$GE10+'FY2023 MEDEVAC Tracker'!$GW10+'FY2023 MEDEVAC Tracker'!$HO10+'FY2023 MEDEVAC Tracker'!$IG10</f>
        <v>#REF!</v>
      </c>
      <c r="H10" s="52">
        <f>IF(ISBLANK('FY2023 MEDEVAC Tracker'!$AO10), 'FY2023 MEDEVAC Tracker'!$S10, 'FY2023 MEDEVAC Tracker'!$AO10)</f>
        <v>0</v>
      </c>
      <c r="I10" s="52">
        <f>MAX('FY2023 MEDEVAC Tracker'!$T10, 'FY2023 MEDEVAC Tracker'!$AP10, 'FY2023 MEDEVAC Tracker'!$BJ10,  'FY2023 MEDEVAC Tracker'!$CB10,  'FY2023 MEDEVAC Tracker'!$CT10,  'FY2023 MEDEVAC Tracker'!$DL10,  'FY2023 MEDEVAC Tracker'!$ED10,  'FY2023 MEDEVAC Tracker'!$EV10,  'FY2023 MEDEVAC Tracker'!$FN10,  'FY2023 MEDEVAC Tracker'!$GF10,  'FY2023 MEDEVAC Tracker'!$GX10,  'FY2023 MEDEVAC Tracker'!$HP10, )</f>
        <v>0</v>
      </c>
      <c r="J10" s="50"/>
      <c r="K10" s="50"/>
      <c r="L10" s="50"/>
      <c r="M10" s="49" t="e">
        <f>VLOOKUP('FY2023 MEDEVAC Tracker'!$N10, List!F:H, 3, FALSE)</f>
        <v>#N/A</v>
      </c>
      <c r="N10" s="50"/>
      <c r="O10" s="49">
        <f>IF(NOT(ISBLANK('FY2023 MEDEVAC Tracker'!$HU10)), 'FY2023 MEDEVAC Tracker'!$HU10, IF(NOT(ISBLANK('FY2023 MEDEVAC Tracker'!$HC10)), 'FY2023 MEDEVAC Tracker'!$HC10, IF(NOT(ISBLANK('FY2023 MEDEVAC Tracker'!$GK10)), 'FY2023 MEDEVAC Tracker'!$GK10, IF(NOT(ISBLANK('FY2023 MEDEVAC Tracker'!$FS10)), 'FY2023 MEDEVAC Tracker'!$FS10, IF(NOT(ISBLANK('FY2023 MEDEVAC Tracker'!$FA10)), 'FY2023 MEDEVAC Tracker'!$FA10, IF(NOT(ISBLANK('FY2023 MEDEVAC Tracker'!$EI10)), 'FY2023 MEDEVAC Tracker'!$EI10, IF(NOT(ISBLANK('FY2023 MEDEVAC Tracker'!$DQ10)), 'FY2023 MEDEVAC Tracker'!$DQ10, IF(NOT(ISBLANK('FY2023 MEDEVAC Tracker'!$CY10)), 'FY2023 MEDEVAC Tracker'!$CY10, IF(NOT(ISBLANK('FY2023 MEDEVAC Tracker'!$CG10)), 'FY2023 MEDEVAC Tracker'!$CG10, IF(NOT(ISBLANK('FY2023 MEDEVAC Tracker'!$BO10)), 'FY2023 MEDEVAC Tracker'!$BO10, IF(NOT(ISBLANK('FY2023 MEDEVAC Tracker'!$AU10)), 'FY2023 MEDEVAC Tracker'!$AU10, IF(NOT(ISBLANK('FY2023 MEDEVAC Tracker'!$V10)), 'FY2023 MEDEVAC Tracker'!$V10, 'FY2023 MEDEVAC Tracker'!$V10))))))))))))</f>
        <v>0</v>
      </c>
      <c r="P10" s="50"/>
      <c r="Q10" s="49">
        <f>IF(NOT(ISBLANK('FY2023 MEDEVAC Tracker'!#REF!)), 10, IF(NOT(ISBLANK('FY2023 MEDEVAC Tracker'!#REF!)), 9, IF(NOT(ISBLANK('FY2023 MEDEVAC Tracker'!#REF!)), 8, IF(NOT(ISBLANK('FY2023 MEDEVAC Tracker'!#REF!)), 7, IF(NOT(ISBLANK('FY2023 MEDEVAC Tracker'!#REF!)), 6, IF(NOT(ISBLANK('FY2023 MEDEVAC Tracker'!#REF!)), 5, IF(NOT(ISBLANK('FY2023 MEDEVAC Tracker'!#REF!)), 4, IF(NOT(ISBLANK('FY2023 MEDEVAC Tracker'!#REF!)), 3, IF(NOT(ISBLANK('FY2023 MEDEVAC Tracker'!#REF!)), 2, IF(NOT(ISBLANK('FY2023 MEDEVAC Tracker'!#REF!)), 1, 0))))))))))</f>
        <v>10</v>
      </c>
      <c r="R10" s="50" t="str">
        <f>IF(IF(NOT(ISBLANK('FY2023 MEDEVAC Tracker'!$ED10)), 'FY2023 MEDEVAC Tracker'!$ED10-'FY2023 MEDEVAC Tracker'!#REF!, IF(NOT(ISBLANK('FY2023 MEDEVAC Tracker'!$DL10)), 'FY2023 MEDEVAC Tracker'!$DL10-'FY2023 MEDEVAC Tracker'!#REF!, IF(NOT(ISBLANK('FY2023 MEDEVAC Tracker'!$CT10)), 'FY2023 MEDEVAC Tracker'!$CT10-'FY2023 MEDEVAC Tracker'!#REF!, IF(NOT(ISBLANK('FY2023 MEDEVAC Tracker'!$CB10)), 'FY2023 MEDEVAC Tracker'!$CB10-'FY2023 MEDEVAC Tracker'!#REF!, IF(NOT(ISBLANK('FY2023 MEDEVAC Tracker'!$AO10)), 'FY2023 MEDEVAC Tracker'!$AO10-'FY2023 MEDEVAC Tracker'!#REF!, 0)))))&lt;30, "0-30", IF(IF(NOT(ISBLANK('FY2023 MEDEVAC Tracker'!$ED10)), 'FY2023 MEDEVAC Tracker'!$ED10-'FY2023 MEDEVAC Tracker'!#REF!, IF(NOT(ISBLANK('FY2023 MEDEVAC Tracker'!$DL10)), 'FY2023 MEDEVAC Tracker'!$DL10-'FY2023 MEDEVAC Tracker'!#REF!, IF(NOT(ISBLANK('FY2023 MEDEVAC Tracker'!$CT10)), 'FY2023 MEDEVAC Tracker'!$CT10-'FY2023 MEDEVAC Tracker'!#REF!, IF(NOT(ISBLANK('FY2023 MEDEVAC Tracker'!$CB10)), 'FY2023 MEDEVAC Tracker'!$CB10-'FY2023 MEDEVAC Tracker'!#REF!, IF(NOT(ISBLANK('FY2023 MEDEVAC Tracker'!$AO10)), 'FY2023 MEDEVAC Tracker'!$AO10-'FY2023 MEDEVAC Tracker'!#REF!, 0)))))&lt;60, "31-60", IF(IF(NOT(ISBLANK('FY2023 MEDEVAC Tracker'!$ED10)), 'FY2023 MEDEVAC Tracker'!$ED10-'FY2023 MEDEVAC Tracker'!#REF!, IF(NOT(ISBLANK('FY2023 MEDEVAC Tracker'!$DL10)), 'FY2023 MEDEVAC Tracker'!$DL10-'FY2023 MEDEVAC Tracker'!#REF!, IF(NOT(ISBLANK('FY2023 MEDEVAC Tracker'!$CT10)), 'FY2023 MEDEVAC Tracker'!$CT10-'FY2023 MEDEVAC Tracker'!#REF!, IF(NOT(ISBLANK('FY2023 MEDEVAC Tracker'!$CB10)), 'FY2023 MEDEVAC Tracker'!$CB10-'FY2023 MEDEVAC Tracker'!#REF!, IF(NOT(ISBLANK('FY2023 MEDEVAC Tracker'!$AO10)), 'FY2023 MEDEVAC Tracker'!$AO10-'FY2023 MEDEVAC Tracker'!#REF!, 0)))))&lt;=90, "61-90", IF(IF(NOT(ISBLANK('FY2023 MEDEVAC Tracker'!$ED10)), 'FY2023 MEDEVAC Tracker'!$ED10-'FY2023 MEDEVAC Tracker'!#REF!, IF(NOT(ISBLANK('FY2023 MEDEVAC Tracker'!$DL10)), 'FY2023 MEDEVAC Tracker'!$DL10-'FY2023 MEDEVAC Tracker'!#REF!, IF(NOT(ISBLANK('FY2023 MEDEVAC Tracker'!$CT10)), 'FY2023 MEDEVAC Tracker'!$CT10-'FY2023 MEDEVAC Tracker'!#REF!, IF(NOT(ISBLANK('FY2023 MEDEVAC Tracker'!$CB10)), 'FY2023 MEDEVAC Tracker'!$CB10-'FY2023 MEDEVAC Tracker'!#REF!, IF(NOT(ISBLANK('FY2023 MEDEVAC Tracker'!$AO10)), 'FY2023 MEDEVAC Tracker'!$AO10-'FY2023 MEDEVAC Tracker'!#REF!, 0)))))&gt;90, "91+", "N/A"))))</f>
        <v>0-30</v>
      </c>
      <c r="S10" s="53"/>
      <c r="T10" s="53"/>
      <c r="U10" s="52">
        <f>_xlfn.DAYS('FY2023 MEDEVAC Tracker'!$T10,'FY2023 MEDEVAC Tracker'!$S10)+1</f>
        <v>1</v>
      </c>
      <c r="V10" s="54"/>
      <c r="W10" s="53"/>
      <c r="X10" s="53"/>
      <c r="Y10" s="54"/>
      <c r="Z10" s="49" t="str">
        <f>IF(OR(ISBLANK('FY2023 MEDEVAC Tracker'!$W10), ISBLANK('FY2023 MEDEVAC Tracker'!$X10)), "N/A", (NETWORKDAYS('FY2023 MEDEVAC Tracker'!$W10,'FY2023 MEDEVAC Tracker'!$X10)+1))</f>
        <v>N/A</v>
      </c>
      <c r="AA10" s="55"/>
      <c r="AB10" s="54"/>
      <c r="AC10" s="54"/>
      <c r="AD10" s="54"/>
      <c r="AE10" s="54"/>
      <c r="AF10" s="54"/>
      <c r="AG10" s="54"/>
      <c r="AH10" s="54"/>
      <c r="AI10" s="55"/>
      <c r="AJ10" s="51" t="e">
        <f>('FY2023 MEDEVAC Tracker'!$AA10*[1]AH11Tracker!$AB10)+('FY2023 MEDEVAC Tracker'!$AC10*'FY2023 MEDEVAC Tracker'!$AD10)+('FY2023 MEDEVAC Tracker'!$AE10*'FY2023 MEDEVAC Tracker'!$AF10)+('FY2023 MEDEVAC Tracker'!$AG10*'FY2023 MEDEVAC Tracker'!$AH10)</f>
        <v>#REF!</v>
      </c>
      <c r="AK10" s="51"/>
      <c r="AL10" s="55"/>
      <c r="AM10" s="51" t="e">
        <f>'FY2023 MEDEVAC Tracker'!$AJ10+'FY2023 MEDEVAC Tracker'!$AK10+'FY2023 MEDEVAC Tracker'!$AL10</f>
        <v>#REF!</v>
      </c>
      <c r="AN10" s="51" t="e">
        <f>AI10+AM10</f>
        <v>#REF!</v>
      </c>
      <c r="AO10" s="57"/>
      <c r="AP10" s="57"/>
      <c r="AQ10" s="57"/>
      <c r="AR10" s="57"/>
      <c r="AS10" s="57"/>
      <c r="AT10" s="49" t="str">
        <f>IF(OR(ISBLANK('FY2023 MEDEVAC Tracker'!$AQ10), ISBLANK('FY2023 MEDEVAC Tracker'!$AR10)), "N/A",'FY2023 MEDEVAC Tracker'!$AR10-'FY2023 MEDEVAC Tracker'!$AQ10)</f>
        <v>N/A</v>
      </c>
      <c r="AU10" s="57"/>
      <c r="AV10" s="57"/>
      <c r="AW10" s="57"/>
      <c r="AX10" s="57"/>
      <c r="AY10" s="57"/>
      <c r="AZ10" s="57"/>
      <c r="BA10" s="57"/>
      <c r="BB10" s="57"/>
      <c r="BC10" s="57"/>
      <c r="BD10" s="57"/>
      <c r="BE10" s="60"/>
      <c r="BF10" s="57"/>
      <c r="BG10" s="51">
        <f>IF(ISBLANK('FY2023 MEDEVAC Tracker'!$BD10), 0, BD10-'FY2023 MEDEVAC Tracker'!$AI10)</f>
        <v>0</v>
      </c>
      <c r="BH10" s="51">
        <f>MAX(0,IF(ISBLANK(AO10), 0, (((AV10*AW10)+(AX10*AY10)+(AZ10*BA10)+(BB10*BC10)+BE10+BF10)-AM10)))</f>
        <v>0</v>
      </c>
      <c r="BI10" s="51">
        <f>IF(ISBLANK('FY2023 MEDEVAC Tracker'!$AO10), 0, SUM(AN10,BG10,BH10))</f>
        <v>0</v>
      </c>
      <c r="BJ10" s="61"/>
      <c r="BK10" s="61"/>
      <c r="BL10" s="61"/>
      <c r="BM10" s="61"/>
      <c r="BN10" s="49" t="str">
        <f>IF(OR(ISBLANK('FY2023 MEDEVAC Tracker'!$BK10), ISBLANK('FY2023 MEDEVAC Tracker'!$BL10)), "N/A",'FY2023 MEDEVAC Tracker'!$BL10-'FY2023 MEDEVAC Tracker'!$BK10)</f>
        <v>N/A</v>
      </c>
      <c r="BO10" s="61"/>
      <c r="BP10" s="61"/>
      <c r="BQ10" s="61"/>
      <c r="BR10" s="61"/>
      <c r="BS10" s="61"/>
      <c r="BT10" s="61"/>
      <c r="BU10" s="61"/>
      <c r="BV10" s="61"/>
      <c r="BW10" s="61"/>
      <c r="BX10" s="61"/>
      <c r="BY10" s="51"/>
      <c r="BZ10" s="51">
        <f>((BP10*BQ10)+(BR10*BS10)+(BT10*BU10)+(BV10*BW10))+BY10</f>
        <v>0</v>
      </c>
      <c r="CA10" s="51">
        <f>BZ10+BX10</f>
        <v>0</v>
      </c>
      <c r="CB10" s="62"/>
      <c r="CC10" s="62"/>
      <c r="CD10" s="62"/>
      <c r="CE10" s="62"/>
      <c r="CF10" s="49" t="str">
        <f>IF(OR(ISBLANK('FY2023 MEDEVAC Tracker'!$CC10), ISBLANK('FY2023 MEDEVAC Tracker'!$CD10)), "N/A",'FY2023 MEDEVAC Tracker'!$CD10-'FY2023 MEDEVAC Tracker'!$CC10)</f>
        <v>N/A</v>
      </c>
      <c r="CG10" s="62"/>
      <c r="CH10" s="62"/>
      <c r="CI10" s="62"/>
      <c r="CJ10" s="62"/>
      <c r="CK10" s="62"/>
      <c r="CL10" s="62"/>
      <c r="CM10" s="62"/>
      <c r="CN10" s="62"/>
      <c r="CO10" s="62"/>
      <c r="CP10" s="62"/>
      <c r="CQ10" s="51"/>
      <c r="CR10" s="51">
        <f>((CH10*CI10)+(CJ10*CK10)+(CL10*CM10)+(CN10*CO10))+CQ10</f>
        <v>0</v>
      </c>
      <c r="CS10" s="51">
        <f>CR10+CP10</f>
        <v>0</v>
      </c>
      <c r="CT10" s="57"/>
      <c r="CU10" s="57"/>
      <c r="CV10" s="57"/>
      <c r="CW10" s="57"/>
      <c r="CX10" s="49" t="str">
        <f>IF(OR(ISBLANK('FY2023 MEDEVAC Tracker'!$CU10), ISBLANK('FY2023 MEDEVAC Tracker'!$CV10)), "N/A",'FY2023 MEDEVAC Tracker'!$CV10-'FY2023 MEDEVAC Tracker'!$CU10)</f>
        <v>N/A</v>
      </c>
      <c r="CY10" s="57"/>
      <c r="CZ10" s="57"/>
      <c r="DA10" s="57"/>
      <c r="DB10" s="57"/>
      <c r="DC10" s="57"/>
      <c r="DD10" s="57"/>
      <c r="DE10" s="57"/>
      <c r="DF10" s="57"/>
      <c r="DG10" s="57"/>
      <c r="DH10" s="57"/>
      <c r="DI10" s="51"/>
      <c r="DJ10" s="51">
        <f>((CZ10*DA10)+(DB10*DC10)+(DD10*DE10)+(DF10*DG10))+DI10</f>
        <v>0</v>
      </c>
      <c r="DK10" s="51">
        <f>DJ10+DH10</f>
        <v>0</v>
      </c>
      <c r="DL10" s="62"/>
      <c r="DM10" s="62"/>
      <c r="DN10" s="62"/>
      <c r="DO10" s="62"/>
      <c r="DP10" s="49" t="str">
        <f>IF(OR(ISBLANK('FY2023 MEDEVAC Tracker'!$DM10), ISBLANK('FY2023 MEDEVAC Tracker'!$DN10)), "N/A",'FY2023 MEDEVAC Tracker'!$DN10-'FY2023 MEDEVAC Tracker'!$DM10)</f>
        <v>N/A</v>
      </c>
      <c r="DQ10" s="62"/>
      <c r="DR10" s="62"/>
      <c r="DS10" s="62"/>
      <c r="DT10" s="62"/>
      <c r="DU10" s="62"/>
      <c r="DV10" s="62"/>
      <c r="DW10" s="62"/>
      <c r="DX10" s="62"/>
      <c r="DY10" s="62"/>
      <c r="DZ10" s="62"/>
      <c r="EA10" s="51"/>
      <c r="EB10" s="51">
        <f>((DR10*DS10)+(DT10*DU10)+(DV10*DW10)+(DX10*DY10))+EA10</f>
        <v>0</v>
      </c>
      <c r="EC10" s="51">
        <f>EB10+DZ10</f>
        <v>0</v>
      </c>
      <c r="ED10" s="50"/>
      <c r="EE10" s="50"/>
      <c r="EF10" s="50"/>
      <c r="EG10" s="50"/>
      <c r="EH10" s="49" t="str">
        <f>IF(OR(ISBLANK('FY2023 MEDEVAC Tracker'!$EE10), ISBLANK('FY2023 MEDEVAC Tracker'!$EF10)), "N/A",'FY2023 MEDEVAC Tracker'!$EF10-'FY2023 MEDEVAC Tracker'!$EE10)</f>
        <v>N/A</v>
      </c>
      <c r="EI10" s="50"/>
      <c r="EJ10" s="50"/>
      <c r="EK10" s="50"/>
      <c r="EL10" s="50"/>
      <c r="EM10" s="50"/>
      <c r="EN10" s="50"/>
      <c r="EO10" s="50"/>
      <c r="EP10" s="50"/>
      <c r="EQ10" s="50"/>
      <c r="ER10" s="50"/>
      <c r="ES10" s="51"/>
      <c r="ET10" s="51">
        <f>((EJ10*EK10)+(EL10*EM10)+(EN10*EO10)+(EP10*EQ10))+ES10</f>
        <v>0</v>
      </c>
      <c r="EU10" s="51">
        <f>ET10+ER10</f>
        <v>0</v>
      </c>
      <c r="EV10" s="54"/>
      <c r="EW10" s="54"/>
      <c r="EX10" s="54"/>
      <c r="EY10" s="54"/>
      <c r="EZ10" s="49" t="str">
        <f>IF(OR(ISBLANK('FY2023 MEDEVAC Tracker'!$EE10), ISBLANK('FY2023 MEDEVAC Tracker'!$EF10)), "N/A",'FY2023 MEDEVAC Tracker'!$EF10-'FY2023 MEDEVAC Tracker'!$EE10)</f>
        <v>N/A</v>
      </c>
      <c r="FA10" s="54"/>
      <c r="FB10" s="54"/>
      <c r="FC10" s="54"/>
      <c r="FD10" s="54"/>
      <c r="FE10" s="54"/>
      <c r="FF10" s="54"/>
      <c r="FG10" s="54"/>
      <c r="FH10" s="54"/>
      <c r="FI10" s="54"/>
      <c r="FJ10" s="54"/>
      <c r="FK10" s="51"/>
      <c r="FL10" s="51">
        <f>((FT10*FU10)+(FV10*FW10)+(FF10*FG10)+(FH10*FI10))+FK10</f>
        <v>0</v>
      </c>
      <c r="FM10" s="51">
        <f>FL10+FJ10</f>
        <v>0</v>
      </c>
      <c r="FN10" s="63"/>
      <c r="FO10" s="63"/>
      <c r="FP10" s="63"/>
      <c r="FQ10" s="63"/>
      <c r="FR10" s="49" t="str">
        <f>IF(OR(ISBLANK('FY2023 MEDEVAC Tracker'!$EE10), ISBLANK('FY2023 MEDEVAC Tracker'!$EF10)), "N/A",'FY2023 MEDEVAC Tracker'!$EF10-'FY2023 MEDEVAC Tracker'!$EE10)</f>
        <v>N/A</v>
      </c>
      <c r="FS10" s="63"/>
      <c r="FT10" s="63"/>
      <c r="FU10" s="63"/>
      <c r="FV10" s="63"/>
      <c r="FW10" s="63"/>
      <c r="FX10" s="63"/>
      <c r="FY10" s="63"/>
      <c r="FZ10" s="63"/>
      <c r="GA10" s="63"/>
      <c r="GB10" s="63"/>
      <c r="GC10" s="51"/>
      <c r="GD10" s="51"/>
      <c r="GE10" s="51">
        <f>GD10+GB10</f>
        <v>0</v>
      </c>
      <c r="GF10" s="61"/>
      <c r="GG10" s="61"/>
      <c r="GH10" s="61"/>
      <c r="GI10" s="61"/>
      <c r="GJ10" s="49" t="str">
        <f>IF(OR(ISBLANK('FY2023 MEDEVAC Tracker'!$GH10), ISBLANK('FY2023 MEDEVAC Tracker'!$GG10)), "N/A",'FY2023 MEDEVAC Tracker'!$GG10-'FY2023 MEDEVAC Tracker'!$GH10)</f>
        <v>N/A</v>
      </c>
      <c r="GK10" s="61"/>
      <c r="GL10" s="61"/>
      <c r="GM10" s="61"/>
      <c r="GN10" s="61"/>
      <c r="GO10" s="61"/>
      <c r="GP10" s="61"/>
      <c r="GQ10" s="61"/>
      <c r="GR10" s="61"/>
      <c r="GS10" s="61"/>
      <c r="GT10" s="61"/>
      <c r="GU10" s="51"/>
      <c r="GV10" s="51">
        <f>((GL10*GM10)+(GN10*GO10)+(GP10*GQ10)+(GR10*GS10))+GU10</f>
        <v>0</v>
      </c>
      <c r="GW10" s="51">
        <f>GV10+GT10</f>
        <v>0</v>
      </c>
      <c r="GX10" s="57"/>
      <c r="GY10" s="57"/>
      <c r="GZ10" s="57"/>
      <c r="HA10" s="57"/>
      <c r="HB10" s="49" t="str">
        <f>IF(OR(ISBLANK('FY2023 MEDEVAC Tracker'!$GY10), ISBLANK('FY2023 MEDEVAC Tracker'!$GZ10)), "N/A",'FY2023 MEDEVAC Tracker'!#REF!-'FY2023 MEDEVAC Tracker'!#REF!)</f>
        <v>N/A</v>
      </c>
      <c r="HC10" s="57"/>
      <c r="HD10" s="57"/>
      <c r="HE10" s="57"/>
      <c r="HF10" s="57"/>
      <c r="HG10" s="57"/>
      <c r="HH10" s="57"/>
      <c r="HI10" s="57"/>
      <c r="HJ10" s="57"/>
      <c r="HK10" s="57"/>
      <c r="HL10" s="57"/>
      <c r="HM10" s="51"/>
      <c r="HN10" s="51"/>
      <c r="HO10" s="51"/>
      <c r="HP10" s="63"/>
      <c r="HQ10" s="63"/>
      <c r="HR10" s="63"/>
      <c r="HS10" s="63"/>
      <c r="HT10" s="49"/>
      <c r="HU10" s="63"/>
      <c r="HV10" s="63"/>
      <c r="HW10" s="63"/>
      <c r="HX10" s="63"/>
      <c r="HY10" s="63"/>
      <c r="HZ10" s="63"/>
      <c r="IA10" s="63"/>
      <c r="IB10" s="63"/>
      <c r="IC10" s="63"/>
      <c r="ID10" s="63"/>
      <c r="IE10" s="51"/>
      <c r="IF10" s="51"/>
      <c r="IG10" s="51"/>
      <c r="IH10" s="57"/>
      <c r="II10" s="57"/>
      <c r="IJ10" s="73">
        <f>IF(ISBLANK('FY2023 MEDEVAC Tracker'!$AO10), 'FY2023 MEDEVAC Tracker'!$H10, 'FY2023 MEDEVAC Tracker'!$AO10)</f>
        <v>0</v>
      </c>
      <c r="IK10" s="73">
        <f>MAX('FY2023 MEDEVAC Tracker'!$HP10, 'FY2023 MEDEVAC Tracker'!$GX10, 'FY2023 MEDEVAC Tracker'!$GF10, 'FY2023 MEDEVAC Tracker'!$FN10, 'FY2023 MEDEVAC Tracker'!$EV10, 'FY2023 MEDEVAC Tracker'!$ED10, 'FY2023 MEDEVAC Tracker'!$DL10, 'FY2023 MEDEVAC Tracker'!$CT10, 'FY2023 MEDEVAC Tracker'!$CB10, 'FY2023 MEDEVAC Tracker'!$BJ10, 'FY2023 MEDEVAC Tracker'!$AP10, 'FY2023 MEDEVAC Tracker'!$I10)</f>
        <v>0</v>
      </c>
      <c r="IL10" s="57"/>
      <c r="IM10" s="57"/>
      <c r="IN10" s="51">
        <f>IM10+IL10</f>
        <v>0</v>
      </c>
      <c r="IO10" s="51" t="e">
        <f>G10-IN10</f>
        <v>#REF!</v>
      </c>
    </row>
    <row r="11" spans="1:301" ht="15.75" x14ac:dyDescent="0.25">
      <c r="B11" s="67" t="str">
        <f>IF(NOT(ISBLANK('FY2023 MEDEVAC Tracker'!$IH11)), IH11, IF(NOT(ISBLANK('FY2023 MEDEVAC Tracker'!$HR11)), "10th Extension Funding Out", IF(NOT(ISBLANK('FY2023 MEDEVAC Tracker'!$GZ11)), "9th Extension Funding Out", IF(NOT(ISBLANK('FY2023 MEDEVAC Tracker'!$GH11)), "8th Extension Funding Out", IF(NOT(ISBLANK('FY2023 MEDEVAC Tracker'!$FP11)), "7th Extension Funding Out", IF(NOT(ISBLANK('FY2023 MEDEVAC Tracker'!$EX11)), "6th Extension Funding Out", IF(NOT(ISBLANK('FY2023 MEDEVAC Tracker'!$EF11)), "5th Extension Funding Out", IF(NOT(ISBLANK('FY2023 MEDEVAC Tracker'!$EE11)), "5th Extension In Processing", IF(NOT(ISBLANK('FY2023 MEDEVAC Tracker'!$DN11)), "4th Extension Funding Out", IF(NOT(ISBLANK('FY2023 MEDEVAC Tracker'!$DM11)), "4th Extension In Processing",IF(NOT(ISBLANK('FY2023 MEDEVAC Tracker'!$CV11)), "3rd Extension Funding Out", IF(NOT(ISBLANK('FY2023 MEDEVAC Tracker'!$CU11)), "3rd Extension In Processing", IF(NOT(ISBLANK('FY2023 MEDEVAC Tracker'!$CD11)), "2nd Extension Funding Out",  IF(NOT(ISBLANK('FY2023 MEDEVAC Tracker'!$CC11)), "2nd Extension In Processing", IF(NOT(ISBLANK('FY2023 MEDEVAC Tracker'!$BL11)), "1st Extension Funding Out", IF(NOT(ISBLANK('FY2023 MEDEVAC Tracker'!$BK11)), "1st Extension In Processing", IF(NOT(ISBLANK('FY2023 MEDEVAC Tracker'!$AR11)), "Amendment Funding Out", IF(NOT(ISBLANK('FY2023 MEDEVAC Tracker'!$AQ11)), "Amendment In Processing", IF(NOT(ISBLANK('FY2023 MEDEVAC Tracker'!$X11)), "Initial Funding Out", IF(NOT(ISBLANK('FY2023 MEDEVAC Tracker'!$W11)), "Initial In Processing", IF(NOT(ISBLANK('FY2023 MEDEVAC Tracker'!$W11)), "Initiated", "N/A")))))))))))))))))))))</f>
        <v>N/A</v>
      </c>
      <c r="C11" s="49"/>
      <c r="D11" s="49" t="e">
        <f ca="1">_xlfn.NUMBERVALUE(CONCATENATE(RIGHT(YEAR((TODAY()-860)), 3), IF(OR('FY2023 MEDEVAC Tracker'!$E11="DOS", 'FY2023 MEDEVAC Tracker'!$E11="Seabee", 'FY2023 MEDEVAC Tracker'!$E11="DOS/Seabee"),10, 90), TEXT(((COUNTIF($E$8:E11, E11))-1),"000")))</f>
        <v>#VALUE!</v>
      </c>
      <c r="G11" s="51" t="e">
        <f>IF(ISBLANK('FY2023 MEDEVAC Tracker'!$AO11), 'FY2023 MEDEVAC Tracker'!$AN11, 'FY2023 MEDEVAC Tracker'!$BI11)+'FY2023 MEDEVAC Tracker'!$CA11+'FY2023 MEDEVAC Tracker'!$CS11+'FY2023 MEDEVAC Tracker'!$DK11+'FY2023 MEDEVAC Tracker'!$EC11+'FY2023 MEDEVAC Tracker'!$EU11+'FY2023 MEDEVAC Tracker'!$FM11+'FY2023 MEDEVAC Tracker'!$GE11+'FY2023 MEDEVAC Tracker'!$GW11+'FY2023 MEDEVAC Tracker'!$HO11+'FY2023 MEDEVAC Tracker'!$IG11</f>
        <v>#REF!</v>
      </c>
      <c r="H11" s="52">
        <f>IF(ISBLANK('FY2023 MEDEVAC Tracker'!$AO11), 'FY2023 MEDEVAC Tracker'!$S11, 'FY2023 MEDEVAC Tracker'!$AO11)</f>
        <v>0</v>
      </c>
      <c r="I11" s="52">
        <f>MAX('FY2023 MEDEVAC Tracker'!$T11, 'FY2023 MEDEVAC Tracker'!$AP11, 'FY2023 MEDEVAC Tracker'!$BJ11,  'FY2023 MEDEVAC Tracker'!$CB11,  'FY2023 MEDEVAC Tracker'!$CT11,  'FY2023 MEDEVAC Tracker'!$DL11,  'FY2023 MEDEVAC Tracker'!$ED11,  'FY2023 MEDEVAC Tracker'!$EV11,  'FY2023 MEDEVAC Tracker'!$FN11,  'FY2023 MEDEVAC Tracker'!$GF11,  'FY2023 MEDEVAC Tracker'!$GX11,  'FY2023 MEDEVAC Tracker'!$HP11, )</f>
        <v>0</v>
      </c>
      <c r="J11" s="50"/>
      <c r="K11" s="50"/>
      <c r="L11" s="50"/>
      <c r="M11" s="49" t="e">
        <f>VLOOKUP('FY2023 MEDEVAC Tracker'!$N11, List!F:H, 3, FALSE)</f>
        <v>#N/A</v>
      </c>
      <c r="N11" s="50"/>
      <c r="O11" s="49">
        <f>IF(NOT(ISBLANK('FY2023 MEDEVAC Tracker'!$HU11)), 'FY2023 MEDEVAC Tracker'!$HU11, IF(NOT(ISBLANK('FY2023 MEDEVAC Tracker'!$HC11)), 'FY2023 MEDEVAC Tracker'!$HC11, IF(NOT(ISBLANK('FY2023 MEDEVAC Tracker'!$GK11)), 'FY2023 MEDEVAC Tracker'!$GK11, IF(NOT(ISBLANK('FY2023 MEDEVAC Tracker'!$FS11)), 'FY2023 MEDEVAC Tracker'!$FS11, IF(NOT(ISBLANK('FY2023 MEDEVAC Tracker'!$FA11)), 'FY2023 MEDEVAC Tracker'!$FA11, IF(NOT(ISBLANK('FY2023 MEDEVAC Tracker'!$EI11)), 'FY2023 MEDEVAC Tracker'!$EI11, IF(NOT(ISBLANK('FY2023 MEDEVAC Tracker'!$DQ11)), 'FY2023 MEDEVAC Tracker'!$DQ11, IF(NOT(ISBLANK('FY2023 MEDEVAC Tracker'!$CY11)), 'FY2023 MEDEVAC Tracker'!$CY11, IF(NOT(ISBLANK('FY2023 MEDEVAC Tracker'!$CG11)), 'FY2023 MEDEVAC Tracker'!$CG11, IF(NOT(ISBLANK('FY2023 MEDEVAC Tracker'!$BO11)), 'FY2023 MEDEVAC Tracker'!$BO11, IF(NOT(ISBLANK('FY2023 MEDEVAC Tracker'!$AU11)), 'FY2023 MEDEVAC Tracker'!$AU11, IF(NOT(ISBLANK('FY2023 MEDEVAC Tracker'!$V11)), 'FY2023 MEDEVAC Tracker'!$V11, 'FY2023 MEDEVAC Tracker'!$V11))))))))))))</f>
        <v>0</v>
      </c>
      <c r="P11" s="50"/>
      <c r="Q11" s="49">
        <f>IF(NOT(ISBLANK('FY2023 MEDEVAC Tracker'!#REF!)), 10, IF(NOT(ISBLANK('FY2023 MEDEVAC Tracker'!#REF!)), 9, IF(NOT(ISBLANK('FY2023 MEDEVAC Tracker'!#REF!)), 8, IF(NOT(ISBLANK('FY2023 MEDEVAC Tracker'!#REF!)), 7, IF(NOT(ISBLANK('FY2023 MEDEVAC Tracker'!#REF!)), 6, IF(NOT(ISBLANK('FY2023 MEDEVAC Tracker'!#REF!)), 5, IF(NOT(ISBLANK('FY2023 MEDEVAC Tracker'!#REF!)), 4, IF(NOT(ISBLANK('FY2023 MEDEVAC Tracker'!#REF!)), 3, IF(NOT(ISBLANK('FY2023 MEDEVAC Tracker'!#REF!)), 2, IF(NOT(ISBLANK('FY2023 MEDEVAC Tracker'!#REF!)), 1, 0))))))))))</f>
        <v>10</v>
      </c>
      <c r="R11" s="50" t="str">
        <f>IF(IF(NOT(ISBLANK('FY2023 MEDEVAC Tracker'!$ED11)), 'FY2023 MEDEVAC Tracker'!$ED11-'FY2023 MEDEVAC Tracker'!#REF!, IF(NOT(ISBLANK('FY2023 MEDEVAC Tracker'!$DL11)), 'FY2023 MEDEVAC Tracker'!$DL11-'FY2023 MEDEVAC Tracker'!#REF!, IF(NOT(ISBLANK('FY2023 MEDEVAC Tracker'!$CT11)), 'FY2023 MEDEVAC Tracker'!$CT11-'FY2023 MEDEVAC Tracker'!#REF!, IF(NOT(ISBLANK('FY2023 MEDEVAC Tracker'!$CB11)), 'FY2023 MEDEVAC Tracker'!$CB11-'FY2023 MEDEVAC Tracker'!#REF!, IF(NOT(ISBLANK('FY2023 MEDEVAC Tracker'!$AO11)), 'FY2023 MEDEVAC Tracker'!$AO11-'FY2023 MEDEVAC Tracker'!#REF!, 0)))))&lt;30, "0-30", IF(IF(NOT(ISBLANK('FY2023 MEDEVAC Tracker'!$ED11)), 'FY2023 MEDEVAC Tracker'!$ED11-'FY2023 MEDEVAC Tracker'!#REF!, IF(NOT(ISBLANK('FY2023 MEDEVAC Tracker'!$DL11)), 'FY2023 MEDEVAC Tracker'!$DL11-'FY2023 MEDEVAC Tracker'!#REF!, IF(NOT(ISBLANK('FY2023 MEDEVAC Tracker'!$CT11)), 'FY2023 MEDEVAC Tracker'!$CT11-'FY2023 MEDEVAC Tracker'!#REF!, IF(NOT(ISBLANK('FY2023 MEDEVAC Tracker'!$CB11)), 'FY2023 MEDEVAC Tracker'!$CB11-'FY2023 MEDEVAC Tracker'!#REF!, IF(NOT(ISBLANK('FY2023 MEDEVAC Tracker'!$AO11)), 'FY2023 MEDEVAC Tracker'!$AO11-'FY2023 MEDEVAC Tracker'!#REF!, 0)))))&lt;60, "31-60", IF(IF(NOT(ISBLANK('FY2023 MEDEVAC Tracker'!$ED11)), 'FY2023 MEDEVAC Tracker'!$ED11-'FY2023 MEDEVAC Tracker'!#REF!, IF(NOT(ISBLANK('FY2023 MEDEVAC Tracker'!$DL11)), 'FY2023 MEDEVAC Tracker'!$DL11-'FY2023 MEDEVAC Tracker'!#REF!, IF(NOT(ISBLANK('FY2023 MEDEVAC Tracker'!$CT11)), 'FY2023 MEDEVAC Tracker'!$CT11-'FY2023 MEDEVAC Tracker'!#REF!, IF(NOT(ISBLANK('FY2023 MEDEVAC Tracker'!$CB11)), 'FY2023 MEDEVAC Tracker'!$CB11-'FY2023 MEDEVAC Tracker'!#REF!, IF(NOT(ISBLANK('FY2023 MEDEVAC Tracker'!$AO11)), 'FY2023 MEDEVAC Tracker'!$AO11-'FY2023 MEDEVAC Tracker'!#REF!, 0)))))&lt;=90, "61-90", IF(IF(NOT(ISBLANK('FY2023 MEDEVAC Tracker'!$ED11)), 'FY2023 MEDEVAC Tracker'!$ED11-'FY2023 MEDEVAC Tracker'!#REF!, IF(NOT(ISBLANK('FY2023 MEDEVAC Tracker'!$DL11)), 'FY2023 MEDEVAC Tracker'!$DL11-'FY2023 MEDEVAC Tracker'!#REF!, IF(NOT(ISBLANK('FY2023 MEDEVAC Tracker'!$CT11)), 'FY2023 MEDEVAC Tracker'!$CT11-'FY2023 MEDEVAC Tracker'!#REF!, IF(NOT(ISBLANK('FY2023 MEDEVAC Tracker'!$CB11)), 'FY2023 MEDEVAC Tracker'!$CB11-'FY2023 MEDEVAC Tracker'!#REF!, IF(NOT(ISBLANK('FY2023 MEDEVAC Tracker'!$AO11)), 'FY2023 MEDEVAC Tracker'!$AO11-'FY2023 MEDEVAC Tracker'!#REF!, 0)))))&gt;90, "91+", "N/A"))))</f>
        <v>0-30</v>
      </c>
      <c r="S11" s="53"/>
      <c r="T11" s="53"/>
      <c r="U11" s="52">
        <f>_xlfn.DAYS('FY2023 MEDEVAC Tracker'!$T11,'FY2023 MEDEVAC Tracker'!$S11)+1</f>
        <v>1</v>
      </c>
      <c r="V11" s="54"/>
      <c r="W11" s="53"/>
      <c r="X11" s="53"/>
      <c r="Y11" s="54"/>
      <c r="Z11" s="49" t="str">
        <f>IF(OR(ISBLANK('FY2023 MEDEVAC Tracker'!$W11), ISBLANK('FY2023 MEDEVAC Tracker'!$X11)), "N/A", (NETWORKDAYS('FY2023 MEDEVAC Tracker'!$W11,'FY2023 MEDEVAC Tracker'!$X11)+1))</f>
        <v>N/A</v>
      </c>
      <c r="AA11" s="55"/>
      <c r="AB11" s="54"/>
      <c r="AC11" s="54"/>
      <c r="AD11" s="54"/>
      <c r="AE11" s="54"/>
      <c r="AF11" s="54"/>
      <c r="AG11" s="54"/>
      <c r="AH11" s="54"/>
      <c r="AI11" s="55"/>
      <c r="AJ11" s="51" t="e">
        <f>('FY2023 MEDEVAC Tracker'!$AA11*[1]AH11Tracker!$AB11)+('FY2023 MEDEVAC Tracker'!$AC11*'FY2023 MEDEVAC Tracker'!$AD11)+('FY2023 MEDEVAC Tracker'!$AE11*'FY2023 MEDEVAC Tracker'!$AF11)+('FY2023 MEDEVAC Tracker'!$AG11*'FY2023 MEDEVAC Tracker'!$AH11)</f>
        <v>#REF!</v>
      </c>
      <c r="AK11" s="51"/>
      <c r="AL11" s="55"/>
      <c r="AM11" s="51" t="e">
        <f>'FY2023 MEDEVAC Tracker'!$AJ11+'FY2023 MEDEVAC Tracker'!$AK11+'FY2023 MEDEVAC Tracker'!$AL11</f>
        <v>#REF!</v>
      </c>
      <c r="AN11" s="51" t="e">
        <f>AI11+AM11</f>
        <v>#REF!</v>
      </c>
      <c r="AO11" s="57"/>
      <c r="AP11" s="57"/>
      <c r="AQ11" s="57"/>
      <c r="AR11" s="57"/>
      <c r="AS11" s="57"/>
      <c r="AT11" s="49" t="str">
        <f>IF(OR(ISBLANK('FY2023 MEDEVAC Tracker'!$AQ11), ISBLANK('FY2023 MEDEVAC Tracker'!$AR11)), "N/A",'FY2023 MEDEVAC Tracker'!$AR11-'FY2023 MEDEVAC Tracker'!$AQ11)</f>
        <v>N/A</v>
      </c>
      <c r="AU11" s="57"/>
      <c r="AV11" s="57"/>
      <c r="AW11" s="57"/>
      <c r="AX11" s="57"/>
      <c r="AY11" s="57"/>
      <c r="AZ11" s="57"/>
      <c r="BA11" s="57"/>
      <c r="BB11" s="57"/>
      <c r="BC11" s="57"/>
      <c r="BD11" s="57"/>
      <c r="BE11" s="60"/>
      <c r="BF11" s="57"/>
      <c r="BG11" s="51">
        <f>IF(ISBLANK('FY2023 MEDEVAC Tracker'!$BD11), 0, BD11-'FY2023 MEDEVAC Tracker'!$AI11)</f>
        <v>0</v>
      </c>
      <c r="BH11" s="51">
        <f>MAX(0,IF(ISBLANK(AO11), 0, (((AV11*AW11)+(AX11*AY11)+(AZ11*BA11)+(BB11*BC11)+BE11+BF11)-AM11)))</f>
        <v>0</v>
      </c>
      <c r="BI11" s="51">
        <f>IF(ISBLANK('FY2023 MEDEVAC Tracker'!$AO11), 0, SUM(AN11,BG11,BH11))</f>
        <v>0</v>
      </c>
      <c r="BJ11" s="61"/>
      <c r="BK11" s="61"/>
      <c r="BL11" s="61"/>
      <c r="BM11" s="61"/>
      <c r="BN11" s="49" t="str">
        <f>IF(OR(ISBLANK('FY2023 MEDEVAC Tracker'!$BK11), ISBLANK('FY2023 MEDEVAC Tracker'!$BL11)), "N/A",'FY2023 MEDEVAC Tracker'!$BL11-'FY2023 MEDEVAC Tracker'!$BK11)</f>
        <v>N/A</v>
      </c>
      <c r="BO11" s="61"/>
      <c r="BP11" s="61"/>
      <c r="BQ11" s="61"/>
      <c r="BR11" s="61"/>
      <c r="BS11" s="61"/>
      <c r="BT11" s="61"/>
      <c r="BU11" s="61"/>
      <c r="BV11" s="61"/>
      <c r="BW11" s="61"/>
      <c r="BX11" s="61"/>
      <c r="BY11" s="51"/>
      <c r="BZ11" s="51">
        <f>((BP11*BQ11)+(BR11*BS11)+(BT11*BU11)+(BV11*BW11))+BY11</f>
        <v>0</v>
      </c>
      <c r="CA11" s="51">
        <f>BZ11+BX11</f>
        <v>0</v>
      </c>
      <c r="CB11" s="62"/>
      <c r="CC11" s="62"/>
      <c r="CD11" s="62"/>
      <c r="CE11" s="62"/>
      <c r="CF11" s="49" t="str">
        <f>IF(OR(ISBLANK('FY2023 MEDEVAC Tracker'!$CC11), ISBLANK('FY2023 MEDEVAC Tracker'!$CD11)), "N/A",'FY2023 MEDEVAC Tracker'!$CD11-'FY2023 MEDEVAC Tracker'!$CC11)</f>
        <v>N/A</v>
      </c>
      <c r="CG11" s="62"/>
      <c r="CH11" s="62"/>
      <c r="CI11" s="62"/>
      <c r="CJ11" s="62"/>
      <c r="CK11" s="62"/>
      <c r="CL11" s="62"/>
      <c r="CM11" s="62"/>
      <c r="CN11" s="62"/>
      <c r="CO11" s="62"/>
      <c r="CP11" s="62"/>
      <c r="CQ11" s="51"/>
      <c r="CR11" s="51">
        <f>((CH11*CI11)+(CJ11*CK11)+(CL11*CM11)+(CN11*CO11))+CQ11</f>
        <v>0</v>
      </c>
      <c r="CS11" s="51">
        <f>CR11+CP11</f>
        <v>0</v>
      </c>
      <c r="CT11" s="57"/>
      <c r="CU11" s="57"/>
      <c r="CV11" s="57"/>
      <c r="CW11" s="57"/>
      <c r="CX11" s="49" t="str">
        <f>IF(OR(ISBLANK('FY2023 MEDEVAC Tracker'!$CU11), ISBLANK('FY2023 MEDEVAC Tracker'!$CV11)), "N/A",'FY2023 MEDEVAC Tracker'!$CV11-'FY2023 MEDEVAC Tracker'!$CU11)</f>
        <v>N/A</v>
      </c>
      <c r="CY11" s="57"/>
      <c r="CZ11" s="57"/>
      <c r="DA11" s="57"/>
      <c r="DB11" s="57"/>
      <c r="DC11" s="57"/>
      <c r="DD11" s="57"/>
      <c r="DE11" s="57"/>
      <c r="DF11" s="57"/>
      <c r="DG11" s="57"/>
      <c r="DH11" s="57"/>
      <c r="DI11" s="51"/>
      <c r="DJ11" s="51">
        <f>((CZ11*DA11)+(DB11*DC11)+(DD11*DE11)+(DF11*DG11))+DI11</f>
        <v>0</v>
      </c>
      <c r="DK11" s="51">
        <f>DJ11+DH11</f>
        <v>0</v>
      </c>
      <c r="DL11" s="62"/>
      <c r="DM11" s="62"/>
      <c r="DN11" s="62"/>
      <c r="DO11" s="62"/>
      <c r="DP11" s="49" t="str">
        <f>IF(OR(ISBLANK('FY2023 MEDEVAC Tracker'!$DM11), ISBLANK('FY2023 MEDEVAC Tracker'!$DN11)), "N/A",'FY2023 MEDEVAC Tracker'!$DN11-'FY2023 MEDEVAC Tracker'!$DM11)</f>
        <v>N/A</v>
      </c>
      <c r="DQ11" s="62"/>
      <c r="DR11" s="62"/>
      <c r="DS11" s="62"/>
      <c r="DT11" s="62"/>
      <c r="DU11" s="62"/>
      <c r="DV11" s="62"/>
      <c r="DW11" s="62"/>
      <c r="DX11" s="62"/>
      <c r="DY11" s="62"/>
      <c r="DZ11" s="62"/>
      <c r="EA11" s="51"/>
      <c r="EB11" s="51">
        <f>((DR11*DS11)+(DT11*DU11)+(DV11*DW11)+(DX11*DY11))+EA11</f>
        <v>0</v>
      </c>
      <c r="EC11" s="51">
        <f>EB11+DZ11</f>
        <v>0</v>
      </c>
      <c r="ED11" s="50"/>
      <c r="EE11" s="50"/>
      <c r="EF11" s="50"/>
      <c r="EG11" s="50"/>
      <c r="EH11" s="49" t="str">
        <f>IF(OR(ISBLANK('FY2023 MEDEVAC Tracker'!$EE11), ISBLANK('FY2023 MEDEVAC Tracker'!$EF11)), "N/A",'FY2023 MEDEVAC Tracker'!$EF11-'FY2023 MEDEVAC Tracker'!$EE11)</f>
        <v>N/A</v>
      </c>
      <c r="EI11" s="50"/>
      <c r="EJ11" s="50"/>
      <c r="EK11" s="50"/>
      <c r="EL11" s="50"/>
      <c r="EM11" s="50"/>
      <c r="EN11" s="50"/>
      <c r="EO11" s="50"/>
      <c r="EP11" s="50"/>
      <c r="EQ11" s="50"/>
      <c r="ER11" s="50"/>
      <c r="ES11" s="51"/>
      <c r="ET11" s="51">
        <f>((EJ11*EK11)+(EL11*EM11)+(EN11*EO11)+(EP11*EQ11))+ES11</f>
        <v>0</v>
      </c>
      <c r="EU11" s="51">
        <f>ET11+ER11</f>
        <v>0</v>
      </c>
      <c r="EV11" s="54"/>
      <c r="EW11" s="54"/>
      <c r="EX11" s="54"/>
      <c r="EY11" s="54"/>
      <c r="EZ11" s="49" t="str">
        <f>IF(OR(ISBLANK('FY2023 MEDEVAC Tracker'!$EE11), ISBLANK('FY2023 MEDEVAC Tracker'!$EF11)), "N/A",'FY2023 MEDEVAC Tracker'!$EF11-'FY2023 MEDEVAC Tracker'!$EE11)</f>
        <v>N/A</v>
      </c>
      <c r="FA11" s="54"/>
      <c r="FB11" s="54"/>
      <c r="FC11" s="54"/>
      <c r="FD11" s="54"/>
      <c r="FE11" s="54"/>
      <c r="FF11" s="54"/>
      <c r="FG11" s="54"/>
      <c r="FH11" s="54"/>
      <c r="FI11" s="54"/>
      <c r="FJ11" s="54"/>
      <c r="FK11" s="51"/>
      <c r="FL11" s="51">
        <f>((FT11*FU11)+(FV11*FW11)+(FF11*FG11)+(FH11*FI11))+FK11</f>
        <v>0</v>
      </c>
      <c r="FM11" s="51">
        <f>FL11+FJ11</f>
        <v>0</v>
      </c>
      <c r="FN11" s="63"/>
      <c r="FO11" s="63"/>
      <c r="FP11" s="63"/>
      <c r="FQ11" s="63"/>
      <c r="FR11" s="49" t="str">
        <f>IF(OR(ISBLANK('FY2023 MEDEVAC Tracker'!$EE11), ISBLANK('FY2023 MEDEVAC Tracker'!$EF11)), "N/A",'FY2023 MEDEVAC Tracker'!$EF11-'FY2023 MEDEVAC Tracker'!$EE11)</f>
        <v>N/A</v>
      </c>
      <c r="FS11" s="63"/>
      <c r="FT11" s="63"/>
      <c r="FU11" s="63"/>
      <c r="FV11" s="63"/>
      <c r="FW11" s="63"/>
      <c r="FX11" s="63"/>
      <c r="FY11" s="63"/>
      <c r="FZ11" s="63"/>
      <c r="GA11" s="63"/>
      <c r="GB11" s="63"/>
      <c r="GC11" s="51"/>
      <c r="GD11" s="51"/>
      <c r="GE11" s="51">
        <f>GD11+GB11</f>
        <v>0</v>
      </c>
      <c r="GF11" s="61"/>
      <c r="GG11" s="61"/>
      <c r="GH11" s="61"/>
      <c r="GI11" s="61"/>
      <c r="GJ11" s="49" t="str">
        <f>IF(OR(ISBLANK('FY2023 MEDEVAC Tracker'!$GH11), ISBLANK('FY2023 MEDEVAC Tracker'!$GG11)), "N/A",'FY2023 MEDEVAC Tracker'!$GG11-'FY2023 MEDEVAC Tracker'!$GH11)</f>
        <v>N/A</v>
      </c>
      <c r="GK11" s="61"/>
      <c r="GL11" s="61"/>
      <c r="GM11" s="61"/>
      <c r="GN11" s="61"/>
      <c r="GO11" s="61"/>
      <c r="GP11" s="61"/>
      <c r="GQ11" s="61"/>
      <c r="GR11" s="61"/>
      <c r="GS11" s="61"/>
      <c r="GT11" s="61"/>
      <c r="GU11" s="51"/>
      <c r="GV11" s="51">
        <f>((GL11*GM11)+(GN11*GO11)+(GP11*GQ11)+(GR11*GS11))+GU11</f>
        <v>0</v>
      </c>
      <c r="GW11" s="51">
        <f>GV11+GT11</f>
        <v>0</v>
      </c>
      <c r="GX11" s="57"/>
      <c r="GY11" s="57"/>
      <c r="GZ11" s="57"/>
      <c r="HA11" s="57"/>
      <c r="HB11" s="49" t="str">
        <f>IF(OR(ISBLANK('FY2023 MEDEVAC Tracker'!$GY11), ISBLANK('FY2023 MEDEVAC Tracker'!$GZ11)), "N/A",'FY2023 MEDEVAC Tracker'!#REF!-'FY2023 MEDEVAC Tracker'!#REF!)</f>
        <v>N/A</v>
      </c>
      <c r="HC11" s="57"/>
      <c r="HD11" s="57"/>
      <c r="HE11" s="57"/>
      <c r="HF11" s="57"/>
      <c r="HG11" s="57"/>
      <c r="HH11" s="57"/>
      <c r="HI11" s="57"/>
      <c r="HJ11" s="57"/>
      <c r="HK11" s="57"/>
      <c r="HL11" s="57"/>
      <c r="HM11" s="51"/>
      <c r="HN11" s="51"/>
      <c r="HO11" s="51"/>
      <c r="HP11" s="63"/>
      <c r="HQ11" s="63"/>
      <c r="HR11" s="63"/>
      <c r="HS11" s="63"/>
      <c r="HT11" s="49"/>
      <c r="HU11" s="63"/>
      <c r="HV11" s="63"/>
      <c r="HW11" s="63"/>
      <c r="HX11" s="63"/>
      <c r="HY11" s="63"/>
      <c r="HZ11" s="63"/>
      <c r="IA11" s="63"/>
      <c r="IB11" s="63"/>
      <c r="IC11" s="63"/>
      <c r="ID11" s="63"/>
      <c r="IE11" s="51"/>
      <c r="IF11" s="51"/>
      <c r="IG11" s="51"/>
      <c r="IH11" s="57"/>
      <c r="II11" s="57"/>
      <c r="IJ11" s="73">
        <f>IF(ISBLANK('FY2023 MEDEVAC Tracker'!$AO11), 'FY2023 MEDEVAC Tracker'!$H11, 'FY2023 MEDEVAC Tracker'!$AO11)</f>
        <v>0</v>
      </c>
      <c r="IK11" s="73">
        <f>MAX('FY2023 MEDEVAC Tracker'!$HP11, 'FY2023 MEDEVAC Tracker'!$GX11, 'FY2023 MEDEVAC Tracker'!$GF11, 'FY2023 MEDEVAC Tracker'!$FN11, 'FY2023 MEDEVAC Tracker'!$EV11, 'FY2023 MEDEVAC Tracker'!$ED11, 'FY2023 MEDEVAC Tracker'!$DL11, 'FY2023 MEDEVAC Tracker'!$CT11, 'FY2023 MEDEVAC Tracker'!$CB11, 'FY2023 MEDEVAC Tracker'!$BJ11, 'FY2023 MEDEVAC Tracker'!$AP11, 'FY2023 MEDEVAC Tracker'!$I11)</f>
        <v>0</v>
      </c>
      <c r="IL11" s="57"/>
      <c r="IM11" s="57"/>
      <c r="IN11" s="51">
        <f>IM11+IL11</f>
        <v>0</v>
      </c>
      <c r="IO11" s="51" t="e">
        <f>G11-IN11</f>
        <v>#REF!</v>
      </c>
    </row>
    <row r="12" spans="1:301" ht="15.75" x14ac:dyDescent="0.25">
      <c r="B12" s="67" t="str">
        <f>IF(NOT(ISBLANK('FY2023 MEDEVAC Tracker'!$IH12)), IH12, IF(NOT(ISBLANK('FY2023 MEDEVAC Tracker'!$HR12)), "10th Extension Funding Out", IF(NOT(ISBLANK('FY2023 MEDEVAC Tracker'!$GZ12)), "9th Extension Funding Out", IF(NOT(ISBLANK('FY2023 MEDEVAC Tracker'!$GH12)), "8th Extension Funding Out", IF(NOT(ISBLANK('FY2023 MEDEVAC Tracker'!$FP12)), "7th Extension Funding Out", IF(NOT(ISBLANK('FY2023 MEDEVAC Tracker'!$EX12)), "6th Extension Funding Out", IF(NOT(ISBLANK('FY2023 MEDEVAC Tracker'!$EF12)), "5th Extension Funding Out", IF(NOT(ISBLANK('FY2023 MEDEVAC Tracker'!$EE12)), "5th Extension In Processing", IF(NOT(ISBLANK('FY2023 MEDEVAC Tracker'!$DN12)), "4th Extension Funding Out", IF(NOT(ISBLANK('FY2023 MEDEVAC Tracker'!$DM12)), "4th Extension In Processing",IF(NOT(ISBLANK('FY2023 MEDEVAC Tracker'!$CV12)), "3rd Extension Funding Out", IF(NOT(ISBLANK('FY2023 MEDEVAC Tracker'!$CU12)), "3rd Extension In Processing", IF(NOT(ISBLANK('FY2023 MEDEVAC Tracker'!$CD12)), "2nd Extension Funding Out",  IF(NOT(ISBLANK('FY2023 MEDEVAC Tracker'!$CC12)), "2nd Extension In Processing", IF(NOT(ISBLANK('FY2023 MEDEVAC Tracker'!$BL12)), "1st Extension Funding Out", IF(NOT(ISBLANK('FY2023 MEDEVAC Tracker'!$BK12)), "1st Extension In Processing", IF(NOT(ISBLANK('FY2023 MEDEVAC Tracker'!$AR12)), "Amendment Funding Out", IF(NOT(ISBLANK('FY2023 MEDEVAC Tracker'!$AQ12)), "Amendment In Processing", IF(NOT(ISBLANK('FY2023 MEDEVAC Tracker'!$X12)), "Initial Funding Out", IF(NOT(ISBLANK('FY2023 MEDEVAC Tracker'!$W12)), "Initial In Processing", IF(NOT(ISBLANK('FY2023 MEDEVAC Tracker'!$W12)), "Initiated", "N/A")))))))))))))))))))))</f>
        <v>N/A</v>
      </c>
      <c r="C12" s="49"/>
      <c r="D12" s="49" t="e">
        <f ca="1">_xlfn.NUMBERVALUE(CONCATENATE(RIGHT(YEAR((TODAY()-860)), 3), IF(OR('FY2023 MEDEVAC Tracker'!$E12="DOS", 'FY2023 MEDEVAC Tracker'!$E12="Seabee", 'FY2023 MEDEVAC Tracker'!$E12="DOS/Seabee"),10, 90), TEXT(((COUNTIF($E$8:E12, E12))-1),"000")))</f>
        <v>#VALUE!</v>
      </c>
      <c r="G12" s="51" t="e">
        <f>IF(ISBLANK('FY2023 MEDEVAC Tracker'!$AO12), 'FY2023 MEDEVAC Tracker'!$AN12, 'FY2023 MEDEVAC Tracker'!$BI12)+'FY2023 MEDEVAC Tracker'!$CA12+'FY2023 MEDEVAC Tracker'!$CS12+'FY2023 MEDEVAC Tracker'!$DK12+'FY2023 MEDEVAC Tracker'!$EC12+'FY2023 MEDEVAC Tracker'!$EU12+'FY2023 MEDEVAC Tracker'!$FM12+'FY2023 MEDEVAC Tracker'!$GE12+'FY2023 MEDEVAC Tracker'!$GW12+'FY2023 MEDEVAC Tracker'!$HO12+'FY2023 MEDEVAC Tracker'!$IG12</f>
        <v>#REF!</v>
      </c>
      <c r="H12" s="52">
        <f>IF(ISBLANK('FY2023 MEDEVAC Tracker'!$AO12), 'FY2023 MEDEVAC Tracker'!$S12, 'FY2023 MEDEVAC Tracker'!$AO12)</f>
        <v>0</v>
      </c>
      <c r="I12" s="52">
        <f>MAX('FY2023 MEDEVAC Tracker'!$T12, 'FY2023 MEDEVAC Tracker'!$AP12, 'FY2023 MEDEVAC Tracker'!$BJ12,  'FY2023 MEDEVAC Tracker'!$CB12,  'FY2023 MEDEVAC Tracker'!$CT12,  'FY2023 MEDEVAC Tracker'!$DL12,  'FY2023 MEDEVAC Tracker'!$ED12,  'FY2023 MEDEVAC Tracker'!$EV12,  'FY2023 MEDEVAC Tracker'!$FN12,  'FY2023 MEDEVAC Tracker'!$GF12,  'FY2023 MEDEVAC Tracker'!$GX12,  'FY2023 MEDEVAC Tracker'!$HP12, )</f>
        <v>0</v>
      </c>
      <c r="J12" s="50"/>
      <c r="K12" s="50"/>
      <c r="L12" s="50"/>
      <c r="M12" s="49" t="e">
        <f>VLOOKUP('FY2023 MEDEVAC Tracker'!$N12, List!F:H, 3, FALSE)</f>
        <v>#N/A</v>
      </c>
      <c r="N12" s="50"/>
      <c r="O12" s="49">
        <f>IF(NOT(ISBLANK('FY2023 MEDEVAC Tracker'!$HU12)), 'FY2023 MEDEVAC Tracker'!$HU12, IF(NOT(ISBLANK('FY2023 MEDEVAC Tracker'!$HC12)), 'FY2023 MEDEVAC Tracker'!$HC12, IF(NOT(ISBLANK('FY2023 MEDEVAC Tracker'!$GK12)), 'FY2023 MEDEVAC Tracker'!$GK12, IF(NOT(ISBLANK('FY2023 MEDEVAC Tracker'!$FS12)), 'FY2023 MEDEVAC Tracker'!$FS12, IF(NOT(ISBLANK('FY2023 MEDEVAC Tracker'!$FA12)), 'FY2023 MEDEVAC Tracker'!$FA12, IF(NOT(ISBLANK('FY2023 MEDEVAC Tracker'!$EI12)), 'FY2023 MEDEVAC Tracker'!$EI12, IF(NOT(ISBLANK('FY2023 MEDEVAC Tracker'!$DQ12)), 'FY2023 MEDEVAC Tracker'!$DQ12, IF(NOT(ISBLANK('FY2023 MEDEVAC Tracker'!$CY12)), 'FY2023 MEDEVAC Tracker'!$CY12, IF(NOT(ISBLANK('FY2023 MEDEVAC Tracker'!$CG12)), 'FY2023 MEDEVAC Tracker'!$CG12, IF(NOT(ISBLANK('FY2023 MEDEVAC Tracker'!$BO12)), 'FY2023 MEDEVAC Tracker'!$BO12, IF(NOT(ISBLANK('FY2023 MEDEVAC Tracker'!$AU12)), 'FY2023 MEDEVAC Tracker'!$AU12, IF(NOT(ISBLANK('FY2023 MEDEVAC Tracker'!$V12)), 'FY2023 MEDEVAC Tracker'!$V12, 'FY2023 MEDEVAC Tracker'!$V12))))))))))))</f>
        <v>0</v>
      </c>
      <c r="P12" s="50"/>
      <c r="Q12" s="49">
        <f>IF(NOT(ISBLANK('FY2023 MEDEVAC Tracker'!#REF!)), 10, IF(NOT(ISBLANK('FY2023 MEDEVAC Tracker'!#REF!)), 9, IF(NOT(ISBLANK('FY2023 MEDEVAC Tracker'!#REF!)), 8, IF(NOT(ISBLANK('FY2023 MEDEVAC Tracker'!#REF!)), 7, IF(NOT(ISBLANK('FY2023 MEDEVAC Tracker'!#REF!)), 6, IF(NOT(ISBLANK('FY2023 MEDEVAC Tracker'!#REF!)), 5, IF(NOT(ISBLANK('FY2023 MEDEVAC Tracker'!#REF!)), 4, IF(NOT(ISBLANK('FY2023 MEDEVAC Tracker'!#REF!)), 3, IF(NOT(ISBLANK('FY2023 MEDEVAC Tracker'!#REF!)), 2, IF(NOT(ISBLANK('FY2023 MEDEVAC Tracker'!#REF!)), 1, 0))))))))))</f>
        <v>10</v>
      </c>
      <c r="R12" s="50" t="str">
        <f>IF(IF(NOT(ISBLANK('FY2023 MEDEVAC Tracker'!$ED12)), 'FY2023 MEDEVAC Tracker'!$ED12-'FY2023 MEDEVAC Tracker'!#REF!, IF(NOT(ISBLANK('FY2023 MEDEVAC Tracker'!$DL12)), 'FY2023 MEDEVAC Tracker'!$DL12-'FY2023 MEDEVAC Tracker'!#REF!, IF(NOT(ISBLANK('FY2023 MEDEVAC Tracker'!$CT12)), 'FY2023 MEDEVAC Tracker'!$CT12-'FY2023 MEDEVAC Tracker'!#REF!, IF(NOT(ISBLANK('FY2023 MEDEVAC Tracker'!$CB12)), 'FY2023 MEDEVAC Tracker'!$CB12-'FY2023 MEDEVAC Tracker'!#REF!, IF(NOT(ISBLANK('FY2023 MEDEVAC Tracker'!$AO12)), 'FY2023 MEDEVAC Tracker'!$AO12-'FY2023 MEDEVAC Tracker'!#REF!, 0)))))&lt;30, "0-30", IF(IF(NOT(ISBLANK('FY2023 MEDEVAC Tracker'!$ED12)), 'FY2023 MEDEVAC Tracker'!$ED12-'FY2023 MEDEVAC Tracker'!#REF!, IF(NOT(ISBLANK('FY2023 MEDEVAC Tracker'!$DL12)), 'FY2023 MEDEVAC Tracker'!$DL12-'FY2023 MEDEVAC Tracker'!#REF!, IF(NOT(ISBLANK('FY2023 MEDEVAC Tracker'!$CT12)), 'FY2023 MEDEVAC Tracker'!$CT12-'FY2023 MEDEVAC Tracker'!#REF!, IF(NOT(ISBLANK('FY2023 MEDEVAC Tracker'!$CB12)), 'FY2023 MEDEVAC Tracker'!$CB12-'FY2023 MEDEVAC Tracker'!#REF!, IF(NOT(ISBLANK('FY2023 MEDEVAC Tracker'!$AO12)), 'FY2023 MEDEVAC Tracker'!$AO12-'FY2023 MEDEVAC Tracker'!#REF!, 0)))))&lt;60, "31-60", IF(IF(NOT(ISBLANK('FY2023 MEDEVAC Tracker'!$ED12)), 'FY2023 MEDEVAC Tracker'!$ED12-'FY2023 MEDEVAC Tracker'!#REF!, IF(NOT(ISBLANK('FY2023 MEDEVAC Tracker'!$DL12)), 'FY2023 MEDEVAC Tracker'!$DL12-'FY2023 MEDEVAC Tracker'!#REF!, IF(NOT(ISBLANK('FY2023 MEDEVAC Tracker'!$CT12)), 'FY2023 MEDEVAC Tracker'!$CT12-'FY2023 MEDEVAC Tracker'!#REF!, IF(NOT(ISBLANK('FY2023 MEDEVAC Tracker'!$CB12)), 'FY2023 MEDEVAC Tracker'!$CB12-'FY2023 MEDEVAC Tracker'!#REF!, IF(NOT(ISBLANK('FY2023 MEDEVAC Tracker'!$AO12)), 'FY2023 MEDEVAC Tracker'!$AO12-'FY2023 MEDEVAC Tracker'!#REF!, 0)))))&lt;=90, "61-90", IF(IF(NOT(ISBLANK('FY2023 MEDEVAC Tracker'!$ED12)), 'FY2023 MEDEVAC Tracker'!$ED12-'FY2023 MEDEVAC Tracker'!#REF!, IF(NOT(ISBLANK('FY2023 MEDEVAC Tracker'!$DL12)), 'FY2023 MEDEVAC Tracker'!$DL12-'FY2023 MEDEVAC Tracker'!#REF!, IF(NOT(ISBLANK('FY2023 MEDEVAC Tracker'!$CT12)), 'FY2023 MEDEVAC Tracker'!$CT12-'FY2023 MEDEVAC Tracker'!#REF!, IF(NOT(ISBLANK('FY2023 MEDEVAC Tracker'!$CB12)), 'FY2023 MEDEVAC Tracker'!$CB12-'FY2023 MEDEVAC Tracker'!#REF!, IF(NOT(ISBLANK('FY2023 MEDEVAC Tracker'!$AO12)), 'FY2023 MEDEVAC Tracker'!$AO12-'FY2023 MEDEVAC Tracker'!#REF!, 0)))))&gt;90, "91+", "N/A"))))</f>
        <v>0-30</v>
      </c>
      <c r="S12" s="53"/>
      <c r="T12" s="53"/>
      <c r="U12" s="52">
        <f>_xlfn.DAYS('FY2023 MEDEVAC Tracker'!$T12,'FY2023 MEDEVAC Tracker'!$S12)+1</f>
        <v>1</v>
      </c>
      <c r="V12" s="54"/>
      <c r="W12" s="53"/>
      <c r="X12" s="53"/>
      <c r="Y12" s="54"/>
      <c r="Z12" s="49" t="str">
        <f>IF(OR(ISBLANK('FY2023 MEDEVAC Tracker'!$W12), ISBLANK('FY2023 MEDEVAC Tracker'!$X12)), "N/A", (NETWORKDAYS('FY2023 MEDEVAC Tracker'!$W12,'FY2023 MEDEVAC Tracker'!$X12)+1))</f>
        <v>N/A</v>
      </c>
      <c r="AA12" s="55"/>
      <c r="AB12" s="54"/>
      <c r="AC12" s="54"/>
      <c r="AD12" s="54"/>
      <c r="AE12" s="54"/>
      <c r="AF12" s="54"/>
      <c r="AG12" s="54"/>
      <c r="AH12" s="54"/>
      <c r="AI12" s="55"/>
      <c r="AJ12" s="51" t="e">
        <f>('FY2023 MEDEVAC Tracker'!$AA12*[1]AH11Tracker!$AB12)+('FY2023 MEDEVAC Tracker'!$AC12*'FY2023 MEDEVAC Tracker'!$AD12)+('FY2023 MEDEVAC Tracker'!$AE12*'FY2023 MEDEVAC Tracker'!$AF12)+('FY2023 MEDEVAC Tracker'!$AG12*'FY2023 MEDEVAC Tracker'!$AH12)</f>
        <v>#REF!</v>
      </c>
      <c r="AK12" s="51"/>
      <c r="AL12" s="55"/>
      <c r="AM12" s="51" t="e">
        <f>'FY2023 MEDEVAC Tracker'!$AJ12+'FY2023 MEDEVAC Tracker'!$AK12+'FY2023 MEDEVAC Tracker'!$AL12</f>
        <v>#REF!</v>
      </c>
      <c r="AN12" s="51" t="e">
        <f>AI12+AM12</f>
        <v>#REF!</v>
      </c>
      <c r="AO12" s="57"/>
      <c r="AP12" s="57"/>
      <c r="AQ12" s="57"/>
      <c r="AR12" s="57"/>
      <c r="AS12" s="57"/>
      <c r="AT12" s="49" t="str">
        <f>IF(OR(ISBLANK('FY2023 MEDEVAC Tracker'!$AQ12), ISBLANK('FY2023 MEDEVAC Tracker'!$AR12)), "N/A",'FY2023 MEDEVAC Tracker'!$AR12-'FY2023 MEDEVAC Tracker'!$AQ12)</f>
        <v>N/A</v>
      </c>
      <c r="AU12" s="57"/>
      <c r="AV12" s="57"/>
      <c r="AW12" s="57"/>
      <c r="AX12" s="57"/>
      <c r="AY12" s="57"/>
      <c r="AZ12" s="57"/>
      <c r="BA12" s="57"/>
      <c r="BB12" s="57"/>
      <c r="BC12" s="57"/>
      <c r="BD12" s="57"/>
      <c r="BE12" s="60"/>
      <c r="BF12" s="57"/>
      <c r="BG12" s="51">
        <f>IF(ISBLANK('FY2023 MEDEVAC Tracker'!$BD12), 0, BD12-'FY2023 MEDEVAC Tracker'!$AI12)</f>
        <v>0</v>
      </c>
      <c r="BH12" s="51">
        <f>MAX(0,IF(ISBLANK(AO12), 0, (((AV12*AW12)+(AX12*AY12)+(AZ12*BA12)+(BB12*BC12)+BE12+BF12)-AM12)))</f>
        <v>0</v>
      </c>
      <c r="BI12" s="51">
        <f>IF(ISBLANK('FY2023 MEDEVAC Tracker'!$AO12), 0, SUM(AN12,BG12,BH12))</f>
        <v>0</v>
      </c>
      <c r="BJ12" s="61"/>
      <c r="BK12" s="61"/>
      <c r="BL12" s="61"/>
      <c r="BM12" s="61"/>
      <c r="BN12" s="49" t="str">
        <f>IF(OR(ISBLANK('FY2023 MEDEVAC Tracker'!$BK12), ISBLANK('FY2023 MEDEVAC Tracker'!$BL12)), "N/A",'FY2023 MEDEVAC Tracker'!$BL12-'FY2023 MEDEVAC Tracker'!$BK12)</f>
        <v>N/A</v>
      </c>
      <c r="BO12" s="61"/>
      <c r="BP12" s="61"/>
      <c r="BQ12" s="61"/>
      <c r="BR12" s="61"/>
      <c r="BS12" s="61"/>
      <c r="BT12" s="61"/>
      <c r="BU12" s="61"/>
      <c r="BV12" s="61"/>
      <c r="BW12" s="61"/>
      <c r="BX12" s="61"/>
      <c r="BY12" s="51"/>
      <c r="BZ12" s="51">
        <f>((BP12*BQ12)+(BR12*BS12)+(BT12*BU12)+(BV12*BW12))+BY12</f>
        <v>0</v>
      </c>
      <c r="CA12" s="51">
        <f>BZ12+BX12</f>
        <v>0</v>
      </c>
      <c r="CB12" s="62"/>
      <c r="CC12" s="62"/>
      <c r="CD12" s="62"/>
      <c r="CE12" s="62"/>
      <c r="CF12" s="49" t="str">
        <f>IF(OR(ISBLANK('FY2023 MEDEVAC Tracker'!$CC12), ISBLANK('FY2023 MEDEVAC Tracker'!$CD12)), "N/A",'FY2023 MEDEVAC Tracker'!$CD12-'FY2023 MEDEVAC Tracker'!$CC12)</f>
        <v>N/A</v>
      </c>
      <c r="CG12" s="62"/>
      <c r="CH12" s="62"/>
      <c r="CI12" s="62"/>
      <c r="CJ12" s="62"/>
      <c r="CK12" s="62"/>
      <c r="CL12" s="62"/>
      <c r="CM12" s="62"/>
      <c r="CN12" s="62"/>
      <c r="CO12" s="62"/>
      <c r="CP12" s="62"/>
      <c r="CQ12" s="51"/>
      <c r="CR12" s="51">
        <f>((CH12*CI12)+(CJ12*CK12)+(CL12*CM12)+(CN12*CO12))+CQ12</f>
        <v>0</v>
      </c>
      <c r="CS12" s="51">
        <f>CR12+CP12</f>
        <v>0</v>
      </c>
      <c r="CT12" s="57"/>
      <c r="CU12" s="57"/>
      <c r="CV12" s="57"/>
      <c r="CW12" s="57"/>
      <c r="CX12" s="49" t="str">
        <f>IF(OR(ISBLANK('FY2023 MEDEVAC Tracker'!$CU12), ISBLANK('FY2023 MEDEVAC Tracker'!$CV12)), "N/A",'FY2023 MEDEVAC Tracker'!$CV12-'FY2023 MEDEVAC Tracker'!$CU12)</f>
        <v>N/A</v>
      </c>
      <c r="CY12" s="57"/>
      <c r="CZ12" s="57"/>
      <c r="DA12" s="57"/>
      <c r="DB12" s="57"/>
      <c r="DC12" s="57"/>
      <c r="DD12" s="57"/>
      <c r="DE12" s="57"/>
      <c r="DF12" s="57"/>
      <c r="DG12" s="57"/>
      <c r="DH12" s="57"/>
      <c r="DI12" s="51"/>
      <c r="DJ12" s="51">
        <f>((CZ12*DA12)+(DB12*DC12)+(DD12*DE12)+(DF12*DG12))+DI12</f>
        <v>0</v>
      </c>
      <c r="DK12" s="51">
        <f>DJ12+DH12</f>
        <v>0</v>
      </c>
      <c r="DL12" s="62"/>
      <c r="DM12" s="62"/>
      <c r="DN12" s="62"/>
      <c r="DO12" s="62"/>
      <c r="DP12" s="49" t="str">
        <f>IF(OR(ISBLANK('FY2023 MEDEVAC Tracker'!$DM12), ISBLANK('FY2023 MEDEVAC Tracker'!$DN12)), "N/A",'FY2023 MEDEVAC Tracker'!$DN12-'FY2023 MEDEVAC Tracker'!$DM12)</f>
        <v>N/A</v>
      </c>
      <c r="DQ12" s="62"/>
      <c r="DR12" s="62"/>
      <c r="DS12" s="62"/>
      <c r="DT12" s="62"/>
      <c r="DU12" s="62"/>
      <c r="DV12" s="62"/>
      <c r="DW12" s="62"/>
      <c r="DX12" s="62"/>
      <c r="DY12" s="62"/>
      <c r="DZ12" s="62"/>
      <c r="EA12" s="51"/>
      <c r="EB12" s="51">
        <f>((DR12*DS12)+(DT12*DU12)+(DV12*DW12)+(DX12*DY12))+EA12</f>
        <v>0</v>
      </c>
      <c r="EC12" s="51">
        <f>EB12+DZ12</f>
        <v>0</v>
      </c>
      <c r="ED12" s="50"/>
      <c r="EE12" s="50"/>
      <c r="EF12" s="50"/>
      <c r="EG12" s="50"/>
      <c r="EH12" s="49" t="str">
        <f>IF(OR(ISBLANK('FY2023 MEDEVAC Tracker'!$EE12), ISBLANK('FY2023 MEDEVAC Tracker'!$EF12)), "N/A",'FY2023 MEDEVAC Tracker'!$EF12-'FY2023 MEDEVAC Tracker'!$EE12)</f>
        <v>N/A</v>
      </c>
      <c r="EI12" s="50"/>
      <c r="EJ12" s="50"/>
      <c r="EK12" s="50"/>
      <c r="EL12" s="50"/>
      <c r="EM12" s="50"/>
      <c r="EN12" s="50"/>
      <c r="EO12" s="50"/>
      <c r="EP12" s="50"/>
      <c r="EQ12" s="50"/>
      <c r="ER12" s="50"/>
      <c r="ES12" s="51"/>
      <c r="ET12" s="51">
        <f>((EJ12*EK12)+(EL12*EM12)+(EN12*EO12)+(EP12*EQ12))+ES12</f>
        <v>0</v>
      </c>
      <c r="EU12" s="51">
        <f>ET12+ER12</f>
        <v>0</v>
      </c>
      <c r="EV12" s="54"/>
      <c r="EW12" s="54"/>
      <c r="EX12" s="54"/>
      <c r="EY12" s="54"/>
      <c r="EZ12" s="49" t="str">
        <f>IF(OR(ISBLANK('FY2023 MEDEVAC Tracker'!$EE12), ISBLANK('FY2023 MEDEVAC Tracker'!$EF12)), "N/A",'FY2023 MEDEVAC Tracker'!$EF12-'FY2023 MEDEVAC Tracker'!$EE12)</f>
        <v>N/A</v>
      </c>
      <c r="FA12" s="54"/>
      <c r="FB12" s="54"/>
      <c r="FC12" s="54"/>
      <c r="FD12" s="54"/>
      <c r="FE12" s="54"/>
      <c r="FF12" s="54"/>
      <c r="FG12" s="54"/>
      <c r="FH12" s="54"/>
      <c r="FI12" s="54"/>
      <c r="FJ12" s="54"/>
      <c r="FK12" s="51"/>
      <c r="FL12" s="51">
        <f>((FT12*FU12)+(FV12*FW12)+(FF12*FG12)+(FH12*FI12))+FK12</f>
        <v>0</v>
      </c>
      <c r="FM12" s="51">
        <f>FL12+FJ12</f>
        <v>0</v>
      </c>
      <c r="FN12" s="63"/>
      <c r="FO12" s="63"/>
      <c r="FP12" s="63"/>
      <c r="FQ12" s="63"/>
      <c r="FR12" s="49" t="str">
        <f>IF(OR(ISBLANK('FY2023 MEDEVAC Tracker'!$EE12), ISBLANK('FY2023 MEDEVAC Tracker'!$EF12)), "N/A",'FY2023 MEDEVAC Tracker'!$EF12-'FY2023 MEDEVAC Tracker'!$EE12)</f>
        <v>N/A</v>
      </c>
      <c r="FS12" s="63"/>
      <c r="FT12" s="63"/>
      <c r="FU12" s="63"/>
      <c r="FV12" s="63"/>
      <c r="FW12" s="63"/>
      <c r="FX12" s="63"/>
      <c r="FY12" s="63"/>
      <c r="FZ12" s="63"/>
      <c r="GA12" s="63"/>
      <c r="GB12" s="63"/>
      <c r="GC12" s="51"/>
      <c r="GD12" s="51"/>
      <c r="GE12" s="51">
        <f>GD12+GB12</f>
        <v>0</v>
      </c>
      <c r="GF12" s="61"/>
      <c r="GG12" s="61"/>
      <c r="GH12" s="61"/>
      <c r="GI12" s="61"/>
      <c r="GJ12" s="49" t="str">
        <f>IF(OR(ISBLANK('FY2023 MEDEVAC Tracker'!$GH12), ISBLANK('FY2023 MEDEVAC Tracker'!$GG12)), "N/A",'FY2023 MEDEVAC Tracker'!$GG12-'FY2023 MEDEVAC Tracker'!$GH12)</f>
        <v>N/A</v>
      </c>
      <c r="GK12" s="61"/>
      <c r="GL12" s="61"/>
      <c r="GM12" s="61"/>
      <c r="GN12" s="61"/>
      <c r="GO12" s="61"/>
      <c r="GP12" s="61"/>
      <c r="GQ12" s="61"/>
      <c r="GR12" s="61"/>
      <c r="GS12" s="61"/>
      <c r="GT12" s="61"/>
      <c r="GU12" s="51"/>
      <c r="GV12" s="51">
        <f>((GL12*GM12)+(GN12*GO12)+(GP12*GQ12)+(GR12*GS12))+GU12</f>
        <v>0</v>
      </c>
      <c r="GW12" s="51">
        <f>GV12+GT12</f>
        <v>0</v>
      </c>
      <c r="GX12" s="57"/>
      <c r="GY12" s="57"/>
      <c r="GZ12" s="57"/>
      <c r="HA12" s="57"/>
      <c r="HB12" s="49" t="str">
        <f>IF(OR(ISBLANK('FY2023 MEDEVAC Tracker'!$GY12), ISBLANK('FY2023 MEDEVAC Tracker'!$GZ12)), "N/A",'FY2023 MEDEVAC Tracker'!#REF!-'FY2023 MEDEVAC Tracker'!#REF!)</f>
        <v>N/A</v>
      </c>
      <c r="HC12" s="57"/>
      <c r="HD12" s="57"/>
      <c r="HE12" s="57"/>
      <c r="HF12" s="57"/>
      <c r="HG12" s="57"/>
      <c r="HH12" s="57"/>
      <c r="HI12" s="57"/>
      <c r="HJ12" s="57"/>
      <c r="HK12" s="57"/>
      <c r="HL12" s="57"/>
      <c r="HM12" s="51"/>
      <c r="HN12" s="51"/>
      <c r="HO12" s="51"/>
      <c r="HP12" s="63"/>
      <c r="HQ12" s="63"/>
      <c r="HR12" s="63"/>
      <c r="HS12" s="63"/>
      <c r="HT12" s="49"/>
      <c r="HU12" s="63"/>
      <c r="HV12" s="63"/>
      <c r="HW12" s="63"/>
      <c r="HX12" s="63"/>
      <c r="HY12" s="63"/>
      <c r="HZ12" s="63"/>
      <c r="IA12" s="63"/>
      <c r="IB12" s="63"/>
      <c r="IC12" s="63"/>
      <c r="ID12" s="63"/>
      <c r="IE12" s="51"/>
      <c r="IF12" s="51"/>
      <c r="IG12" s="51"/>
      <c r="IH12" s="57"/>
      <c r="II12" s="57"/>
      <c r="IJ12" s="73">
        <f>IF(ISBLANK('FY2023 MEDEVAC Tracker'!$AO12), 'FY2023 MEDEVAC Tracker'!$H12, 'FY2023 MEDEVAC Tracker'!$AO12)</f>
        <v>0</v>
      </c>
      <c r="IK12" s="73">
        <f>MAX('FY2023 MEDEVAC Tracker'!$HP12, 'FY2023 MEDEVAC Tracker'!$GX12, 'FY2023 MEDEVAC Tracker'!$GF12, 'FY2023 MEDEVAC Tracker'!$FN12, 'FY2023 MEDEVAC Tracker'!$EV12, 'FY2023 MEDEVAC Tracker'!$ED12, 'FY2023 MEDEVAC Tracker'!$DL12, 'FY2023 MEDEVAC Tracker'!$CT12, 'FY2023 MEDEVAC Tracker'!$CB12, 'FY2023 MEDEVAC Tracker'!$BJ12, 'FY2023 MEDEVAC Tracker'!$AP12, 'FY2023 MEDEVAC Tracker'!$I12)</f>
        <v>0</v>
      </c>
      <c r="IL12" s="57"/>
      <c r="IM12" s="57"/>
      <c r="IN12" s="51">
        <f>IM12+IL12</f>
        <v>0</v>
      </c>
      <c r="IO12" s="51" t="e">
        <f>G12-IN12</f>
        <v>#REF!</v>
      </c>
    </row>
  </sheetData>
  <pageMargins left="0.7" right="0.7" top="0.75" bottom="0.75" header="0.3" footer="0.3"/>
  <headerFooter>
    <oddHeader>&amp;L&amp;"Calibri"&amp;10&amp;K000000 Sensitivity Label: CGIF Internal&amp;1#_x000D_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B089-601D-4ED7-9F51-36E33A0F7368}">
  <sheetPr>
    <tabColor rgb="FFFFC000"/>
  </sheetPr>
  <dimension ref="A1:EA4"/>
  <sheetViews>
    <sheetView topLeftCell="DT1" workbookViewId="0">
      <selection activeCell="DW3" sqref="DW3"/>
    </sheetView>
  </sheetViews>
  <sheetFormatPr defaultColWidth="16.28515625" defaultRowHeight="15.6" customHeight="1" x14ac:dyDescent="0.25"/>
  <cols>
    <col min="1" max="1" width="2.7109375" customWidth="1"/>
    <col min="2" max="2" width="20.7109375" customWidth="1"/>
    <col min="3" max="3" width="27.28515625" customWidth="1"/>
    <col min="4" max="4" width="18.28515625" customWidth="1"/>
    <col min="5" max="5" width="26.5703125" customWidth="1"/>
    <col min="7" max="7" width="27.140625" customWidth="1"/>
    <col min="8" max="8" width="30.5703125" customWidth="1"/>
    <col min="9" max="9" width="20.140625" customWidth="1"/>
    <col min="11" max="11" width="20.7109375" customWidth="1"/>
    <col min="13" max="13" width="20.42578125" customWidth="1"/>
    <col min="15" max="15" width="20.28515625" customWidth="1"/>
    <col min="17" max="17" width="17.28515625" customWidth="1"/>
    <col min="18" max="18" width="33.7109375" customWidth="1"/>
    <col min="19" max="19" width="42.7109375" customWidth="1"/>
    <col min="20" max="20" width="37.5703125" customWidth="1"/>
    <col min="21" max="21" width="43.28515625" customWidth="1"/>
    <col min="22" max="22" width="38.140625" customWidth="1"/>
    <col min="23" max="23" width="43.140625" customWidth="1"/>
    <col min="24" max="24" width="37.85546875" customWidth="1"/>
    <col min="25" max="25" width="42.42578125" customWidth="1"/>
    <col min="26" max="26" width="37.28515625" customWidth="1"/>
    <col min="27" max="27" width="48.5703125" customWidth="1"/>
    <col min="28" max="28" width="35" customWidth="1"/>
    <col min="29" max="29" width="42.7109375" customWidth="1"/>
    <col min="30" max="30" width="37.42578125" customWidth="1"/>
    <col min="31" max="31" width="43.28515625" customWidth="1"/>
    <col min="32" max="32" width="38" customWidth="1"/>
    <col min="33" max="33" width="43" customWidth="1"/>
    <col min="34" max="34" width="37.7109375" customWidth="1"/>
    <col min="35" max="35" width="42.28515625" customWidth="1"/>
    <col min="36" max="36" width="37.140625" customWidth="1"/>
    <col min="37" max="37" width="34.140625" customWidth="1"/>
    <col min="38" max="38" width="35" customWidth="1"/>
    <col min="39" max="39" width="43.7109375" customWidth="1"/>
    <col min="40" max="40" width="37.42578125" customWidth="1"/>
    <col min="41" max="41" width="43.28515625" customWidth="1"/>
    <col min="42" max="42" width="38" customWidth="1"/>
    <col min="43" max="43" width="43" customWidth="1"/>
    <col min="44" max="44" width="37.7109375" customWidth="1"/>
    <col min="45" max="45" width="42.28515625" customWidth="1"/>
    <col min="46" max="46" width="37.140625" customWidth="1"/>
    <col min="47" max="47" width="34.140625" customWidth="1"/>
    <col min="48" max="48" width="35" customWidth="1"/>
    <col min="49" max="49" width="42.7109375" customWidth="1"/>
    <col min="50" max="50" width="37.42578125" customWidth="1"/>
    <col min="51" max="51" width="43.28515625" customWidth="1"/>
    <col min="52" max="52" width="38" customWidth="1"/>
    <col min="53" max="53" width="43" customWidth="1"/>
    <col min="54" max="54" width="37.7109375" customWidth="1"/>
    <col min="55" max="55" width="42.28515625" customWidth="1"/>
    <col min="56" max="56" width="37.140625" customWidth="1"/>
    <col min="57" max="57" width="34.140625" customWidth="1"/>
    <col min="58" max="58" width="35" customWidth="1"/>
    <col min="59" max="59" width="42.7109375" customWidth="1"/>
    <col min="60" max="60" width="37.42578125" customWidth="1"/>
    <col min="61" max="61" width="43.28515625" customWidth="1"/>
    <col min="62" max="62" width="38" customWidth="1"/>
    <col min="63" max="63" width="43" customWidth="1"/>
    <col min="64" max="64" width="37.7109375" customWidth="1"/>
    <col min="65" max="65" width="42.28515625" customWidth="1"/>
    <col min="66" max="66" width="37.140625" customWidth="1"/>
    <col min="67" max="67" width="34.140625" customWidth="1"/>
    <col min="68" max="68" width="35" customWidth="1"/>
    <col min="69" max="69" width="42.7109375" customWidth="1"/>
    <col min="70" max="70" width="37.42578125" customWidth="1"/>
    <col min="71" max="71" width="43.28515625" customWidth="1"/>
    <col min="72" max="72" width="38" customWidth="1"/>
    <col min="73" max="73" width="43" customWidth="1"/>
    <col min="74" max="74" width="37.7109375" customWidth="1"/>
    <col min="75" max="75" width="42.28515625" customWidth="1"/>
    <col min="76" max="76" width="37.7109375" customWidth="1"/>
    <col min="77" max="77" width="34.140625" customWidth="1"/>
    <col min="78" max="78" width="35" customWidth="1"/>
    <col min="79" max="79" width="42.7109375" customWidth="1"/>
    <col min="80" max="80" width="37.42578125" customWidth="1"/>
    <col min="81" max="81" width="43.28515625" customWidth="1"/>
    <col min="82" max="82" width="38" customWidth="1"/>
    <col min="83" max="83" width="43" customWidth="1"/>
    <col min="84" max="84" width="37.7109375" customWidth="1"/>
    <col min="85" max="85" width="42.28515625" customWidth="1"/>
    <col min="86" max="86" width="37.7109375" customWidth="1"/>
    <col min="87" max="87" width="34.140625" customWidth="1"/>
    <col min="88" max="88" width="35" customWidth="1"/>
    <col min="89" max="89" width="42.7109375" customWidth="1"/>
    <col min="90" max="90" width="37.42578125" customWidth="1"/>
    <col min="91" max="91" width="43.28515625" customWidth="1"/>
    <col min="92" max="92" width="38" customWidth="1"/>
    <col min="93" max="93" width="43" customWidth="1"/>
    <col min="94" max="94" width="37.7109375" customWidth="1"/>
    <col min="95" max="95" width="42.28515625" customWidth="1"/>
    <col min="96" max="96" width="37.7109375" customWidth="1"/>
    <col min="97" max="97" width="34.140625" customWidth="1"/>
    <col min="98" max="98" width="35" customWidth="1"/>
    <col min="99" max="99" width="42.7109375" customWidth="1"/>
    <col min="100" max="100" width="37.42578125" customWidth="1"/>
    <col min="101" max="101" width="43.28515625" customWidth="1"/>
    <col min="102" max="102" width="38" customWidth="1"/>
    <col min="103" max="103" width="43" customWidth="1"/>
    <col min="104" max="104" width="37.7109375" customWidth="1"/>
    <col min="105" max="105" width="42.28515625" customWidth="1"/>
    <col min="106" max="106" width="37.7109375" customWidth="1"/>
    <col min="107" max="107" width="34.140625" customWidth="1"/>
    <col min="108" max="108" width="35" customWidth="1"/>
    <col min="109" max="109" width="42.7109375" customWidth="1"/>
    <col min="110" max="110" width="37.42578125" customWidth="1"/>
    <col min="111" max="111" width="43.28515625" customWidth="1"/>
    <col min="112" max="112" width="38" customWidth="1"/>
    <col min="113" max="113" width="43" customWidth="1"/>
    <col min="114" max="114" width="37.7109375" customWidth="1"/>
    <col min="115" max="115" width="42.28515625" customWidth="1"/>
    <col min="116" max="116" width="37.7109375" customWidth="1"/>
    <col min="117" max="117" width="34.140625" customWidth="1"/>
    <col min="118" max="118" width="36.140625" customWidth="1"/>
    <col min="119" max="119" width="43.7109375" customWidth="1"/>
    <col min="120" max="120" width="38.5703125" customWidth="1"/>
    <col min="121" max="121" width="44.28515625" customWidth="1"/>
    <col min="122" max="122" width="39.140625" customWidth="1"/>
    <col min="123" max="123" width="44.140625" customWidth="1"/>
    <col min="124" max="124" width="38.85546875" customWidth="1"/>
    <col min="125" max="125" width="43.42578125" customWidth="1"/>
    <col min="126" max="126" width="38.7109375" customWidth="1"/>
    <col min="127" max="127" width="35.28515625" customWidth="1"/>
  </cols>
  <sheetData>
    <row r="1" spans="1:131" ht="15.6" customHeight="1" thickBot="1"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row>
    <row r="2" spans="1:131" ht="45" customHeight="1" x14ac:dyDescent="0.25">
      <c r="A2" s="39"/>
      <c r="B2" s="40" t="s">
        <v>10</v>
      </c>
      <c r="C2" s="74" t="s">
        <v>275</v>
      </c>
      <c r="D2" s="74" t="s">
        <v>13</v>
      </c>
      <c r="E2" s="74" t="s">
        <v>276</v>
      </c>
      <c r="F2" s="74" t="s">
        <v>12</v>
      </c>
      <c r="G2" s="74" t="s">
        <v>277</v>
      </c>
      <c r="H2" s="75" t="s">
        <v>278</v>
      </c>
      <c r="I2" s="75" t="s">
        <v>34</v>
      </c>
      <c r="J2" s="75" t="s">
        <v>35</v>
      </c>
      <c r="K2" s="75" t="s">
        <v>36</v>
      </c>
      <c r="L2" s="75" t="s">
        <v>37</v>
      </c>
      <c r="M2" s="75" t="s">
        <v>38</v>
      </c>
      <c r="N2" s="75" t="s">
        <v>39</v>
      </c>
      <c r="O2" s="75" t="s">
        <v>40</v>
      </c>
      <c r="P2" s="75" t="s">
        <v>41</v>
      </c>
      <c r="Q2" s="75" t="s">
        <v>46</v>
      </c>
      <c r="R2" s="76" t="s">
        <v>279</v>
      </c>
      <c r="S2" s="76" t="s">
        <v>55</v>
      </c>
      <c r="T2" s="76" t="s">
        <v>280</v>
      </c>
      <c r="U2" s="76" t="s">
        <v>57</v>
      </c>
      <c r="V2" s="76" t="s">
        <v>281</v>
      </c>
      <c r="W2" s="76" t="s">
        <v>59</v>
      </c>
      <c r="X2" s="76" t="s">
        <v>282</v>
      </c>
      <c r="Y2" s="76" t="s">
        <v>283</v>
      </c>
      <c r="Z2" s="76" t="s">
        <v>284</v>
      </c>
      <c r="AA2" s="76" t="s">
        <v>285</v>
      </c>
      <c r="AB2" s="77" t="s">
        <v>286</v>
      </c>
      <c r="AC2" s="77" t="s">
        <v>75</v>
      </c>
      <c r="AD2" s="77" t="s">
        <v>287</v>
      </c>
      <c r="AE2" s="77" t="s">
        <v>77</v>
      </c>
      <c r="AF2" s="77" t="s">
        <v>288</v>
      </c>
      <c r="AG2" s="77" t="s">
        <v>79</v>
      </c>
      <c r="AH2" s="77" t="s">
        <v>289</v>
      </c>
      <c r="AI2" s="77" t="s">
        <v>290</v>
      </c>
      <c r="AJ2" s="77" t="s">
        <v>291</v>
      </c>
      <c r="AK2" s="77" t="s">
        <v>85</v>
      </c>
      <c r="AL2" s="78" t="s">
        <v>292</v>
      </c>
      <c r="AM2" s="78" t="s">
        <v>293</v>
      </c>
      <c r="AN2" s="78" t="s">
        <v>294</v>
      </c>
      <c r="AO2" s="78" t="s">
        <v>95</v>
      </c>
      <c r="AP2" s="78" t="s">
        <v>295</v>
      </c>
      <c r="AQ2" s="78" t="s">
        <v>296</v>
      </c>
      <c r="AR2" s="78" t="s">
        <v>297</v>
      </c>
      <c r="AS2" s="78" t="s">
        <v>298</v>
      </c>
      <c r="AT2" s="78" t="s">
        <v>299</v>
      </c>
      <c r="AU2" s="78" t="s">
        <v>103</v>
      </c>
      <c r="AV2" s="79" t="s">
        <v>300</v>
      </c>
      <c r="AW2" s="79" t="s">
        <v>111</v>
      </c>
      <c r="AX2" s="79" t="s">
        <v>301</v>
      </c>
      <c r="AY2" s="79" t="s">
        <v>113</v>
      </c>
      <c r="AZ2" s="79" t="s">
        <v>302</v>
      </c>
      <c r="BA2" s="79" t="s">
        <v>115</v>
      </c>
      <c r="BB2" s="79" t="s">
        <v>303</v>
      </c>
      <c r="BC2" s="79" t="s">
        <v>304</v>
      </c>
      <c r="BD2" s="79" t="s">
        <v>305</v>
      </c>
      <c r="BE2" s="79" t="s">
        <v>121</v>
      </c>
      <c r="BF2" s="80" t="s">
        <v>306</v>
      </c>
      <c r="BG2" s="80" t="s">
        <v>307</v>
      </c>
      <c r="BH2" s="80" t="s">
        <v>308</v>
      </c>
      <c r="BI2" s="80" t="s">
        <v>131</v>
      </c>
      <c r="BJ2" s="80" t="s">
        <v>309</v>
      </c>
      <c r="BK2" s="80" t="s">
        <v>133</v>
      </c>
      <c r="BL2" s="80" t="s">
        <v>310</v>
      </c>
      <c r="BM2" s="80" t="s">
        <v>311</v>
      </c>
      <c r="BN2" s="80" t="s">
        <v>312</v>
      </c>
      <c r="BO2" s="80" t="s">
        <v>139</v>
      </c>
      <c r="BP2" s="74" t="s">
        <v>313</v>
      </c>
      <c r="BQ2" s="74" t="s">
        <v>147</v>
      </c>
      <c r="BR2" s="74" t="s">
        <v>314</v>
      </c>
      <c r="BS2" s="74" t="s">
        <v>149</v>
      </c>
      <c r="BT2" s="74" t="s">
        <v>315</v>
      </c>
      <c r="BU2" s="74" t="s">
        <v>151</v>
      </c>
      <c r="BV2" s="74" t="s">
        <v>316</v>
      </c>
      <c r="BW2" s="74" t="s">
        <v>317</v>
      </c>
      <c r="BX2" s="74" t="s">
        <v>318</v>
      </c>
      <c r="BY2" s="74" t="s">
        <v>157</v>
      </c>
      <c r="BZ2" s="75" t="s">
        <v>319</v>
      </c>
      <c r="CA2" s="75" t="s">
        <v>165</v>
      </c>
      <c r="CB2" s="75" t="s">
        <v>320</v>
      </c>
      <c r="CC2" s="75" t="s">
        <v>167</v>
      </c>
      <c r="CD2" s="75" t="s">
        <v>321</v>
      </c>
      <c r="CE2" s="75" t="s">
        <v>169</v>
      </c>
      <c r="CF2" s="75" t="s">
        <v>322</v>
      </c>
      <c r="CG2" s="75" t="s">
        <v>323</v>
      </c>
      <c r="CH2" s="75" t="s">
        <v>324</v>
      </c>
      <c r="CI2" s="75" t="s">
        <v>175</v>
      </c>
      <c r="CJ2" s="78" t="s">
        <v>325</v>
      </c>
      <c r="CK2" s="78" t="s">
        <v>183</v>
      </c>
      <c r="CL2" s="78" t="s">
        <v>326</v>
      </c>
      <c r="CM2" s="78" t="s">
        <v>185</v>
      </c>
      <c r="CN2" s="78" t="s">
        <v>327</v>
      </c>
      <c r="CO2" s="78" t="s">
        <v>187</v>
      </c>
      <c r="CP2" s="78" t="s">
        <v>328</v>
      </c>
      <c r="CQ2" s="78" t="s">
        <v>329</v>
      </c>
      <c r="CR2" s="78" t="s">
        <v>330</v>
      </c>
      <c r="CS2" s="78" t="s">
        <v>193</v>
      </c>
      <c r="CT2" s="77" t="s">
        <v>331</v>
      </c>
      <c r="CU2" s="77" t="s">
        <v>201</v>
      </c>
      <c r="CV2" s="77" t="s">
        <v>332</v>
      </c>
      <c r="CW2" s="77" t="s">
        <v>203</v>
      </c>
      <c r="CX2" s="77" t="s">
        <v>333</v>
      </c>
      <c r="CY2" s="77" t="s">
        <v>205</v>
      </c>
      <c r="CZ2" s="77" t="s">
        <v>334</v>
      </c>
      <c r="DA2" s="77" t="s">
        <v>335</v>
      </c>
      <c r="DB2" s="77" t="s">
        <v>336</v>
      </c>
      <c r="DC2" s="77" t="s">
        <v>211</v>
      </c>
      <c r="DD2" s="79" t="s">
        <v>337</v>
      </c>
      <c r="DE2" s="79" t="s">
        <v>219</v>
      </c>
      <c r="DF2" s="79" t="s">
        <v>338</v>
      </c>
      <c r="DG2" s="79" t="s">
        <v>221</v>
      </c>
      <c r="DH2" s="79" t="s">
        <v>339</v>
      </c>
      <c r="DI2" s="79" t="s">
        <v>223</v>
      </c>
      <c r="DJ2" s="79" t="s">
        <v>340</v>
      </c>
      <c r="DK2" s="79" t="s">
        <v>341</v>
      </c>
      <c r="DL2" s="79" t="s">
        <v>342</v>
      </c>
      <c r="DM2" s="79" t="s">
        <v>229</v>
      </c>
      <c r="DN2" s="80" t="s">
        <v>343</v>
      </c>
      <c r="DO2" s="80" t="s">
        <v>237</v>
      </c>
      <c r="DP2" s="80" t="s">
        <v>344</v>
      </c>
      <c r="DQ2" s="80" t="s">
        <v>239</v>
      </c>
      <c r="DR2" s="80" t="s">
        <v>345</v>
      </c>
      <c r="DS2" s="80" t="s">
        <v>241</v>
      </c>
      <c r="DT2" s="80" t="s">
        <v>346</v>
      </c>
      <c r="DU2" s="80" t="s">
        <v>347</v>
      </c>
      <c r="DV2" s="80" t="s">
        <v>348</v>
      </c>
      <c r="DW2" s="80" t="s">
        <v>247</v>
      </c>
      <c r="DX2" s="93"/>
      <c r="DY2" s="39"/>
      <c r="DZ2" s="39"/>
      <c r="EA2" s="39"/>
    </row>
    <row r="3" spans="1:131" ht="15.6" customHeight="1" x14ac:dyDescent="0.25">
      <c r="A3" s="27"/>
      <c r="B3" s="81">
        <v>2390000</v>
      </c>
      <c r="C3" s="82" t="s">
        <v>926</v>
      </c>
      <c r="D3" s="83" t="e">
        <f>'[2]MEDEVAC Add''l Travlr Calculator'!$Q3+'[2]MEDEVAC Add''l Travlr Calculator'!$AA3+'[2]MEDEVAC Add''l Travlr Calculator'!$AK3+'[2]MEDEVAC Add''l Travlr Calculator'!$AU3+'[2]MEDEVAC Add''l Travlr Calculator'!$BE3</f>
        <v>#REF!</v>
      </c>
      <c r="E3" s="82" t="s">
        <v>349</v>
      </c>
      <c r="F3" s="84" t="s">
        <v>928</v>
      </c>
      <c r="G3" s="84" t="s">
        <v>929</v>
      </c>
      <c r="H3" s="85">
        <v>1</v>
      </c>
      <c r="I3" s="86">
        <v>336</v>
      </c>
      <c r="J3" s="87">
        <v>3</v>
      </c>
      <c r="K3" s="87"/>
      <c r="L3" s="87"/>
      <c r="M3" s="87"/>
      <c r="N3" s="87"/>
      <c r="O3" s="87"/>
      <c r="P3" s="87"/>
      <c r="Q3" s="83" t="e">
        <f>'[2]MEDEVAC Add''l Travlr Calculator'!$H3*(('[2]MEDEVAC Add''l Travlr Calculator'!$I3*'[2]MEDEVAC Add''l Travlr Calculator'!$J3)+('[2]MEDEVAC Add''l Travlr Calculator'!$K3*'[2]MEDEVAC Add''l Travlr Calculator'!$L3)+('[2]MEDEVAC Add''l Travlr Calculator'!$M3*'[2]MEDEVAC Add''l Travlr Calculator'!$N3)+('[2]MEDEVAC Add''l Travlr Calculator'!$O3*'[2]MEDEVAC Add''l Travlr Calculator'!$P3))</f>
        <v>#REF!</v>
      </c>
      <c r="R3" s="88"/>
      <c r="S3" s="88"/>
      <c r="T3" s="88"/>
      <c r="U3" s="88"/>
      <c r="V3" s="88"/>
      <c r="W3" s="88"/>
      <c r="X3" s="88"/>
      <c r="Y3" s="88"/>
      <c r="Z3" s="88"/>
      <c r="AA3" s="83" t="e">
        <f>'[2]MEDEVAC Add''l Travlr Calculator'!$R3*(('[2]MEDEVAC Add''l Travlr Calculator'!$S3*'[2]MEDEVAC Add''l Travlr Calculator'!$T3)+('[2]MEDEVAC Add''l Travlr Calculator'!$U3*'[2]MEDEVAC Add''l Travlr Calculator'!$V3)+('[2]MEDEVAC Add''l Travlr Calculator'!$W3*'[2]MEDEVAC Add''l Travlr Calculator'!$X3)+('[2]MEDEVAC Add''l Travlr Calculator'!$Y3*'[2]MEDEVAC Add''l Travlr Calculator'!$Z3))</f>
        <v>#REF!</v>
      </c>
      <c r="AB3" s="89"/>
      <c r="AC3" s="89"/>
      <c r="AD3" s="89"/>
      <c r="AE3" s="89"/>
      <c r="AF3" s="89"/>
      <c r="AG3" s="89"/>
      <c r="AH3" s="89"/>
      <c r="AI3" s="89"/>
      <c r="AJ3" s="89"/>
      <c r="AK3" s="83" t="e">
        <f>'[2]MEDEVAC Add''l Travlr Calculator'!$AB3*(('[2]MEDEVAC Add''l Travlr Calculator'!$AC3*'[2]MEDEVAC Add''l Travlr Calculator'!$AD3)+('[2]MEDEVAC Add''l Travlr Calculator'!$AE3*'[2]MEDEVAC Add''l Travlr Calculator'!$AF3)+('[2]MEDEVAC Add''l Travlr Calculator'!$AG3*'[2]MEDEVAC Add''l Travlr Calculator'!$AH3)+('[2]MEDEVAC Add''l Travlr Calculator'!$AI3*'[2]MEDEVAC Add''l Travlr Calculator'!$AJ3))</f>
        <v>#REF!</v>
      </c>
      <c r="AL3" s="90"/>
      <c r="AM3" s="90"/>
      <c r="AN3" s="90"/>
      <c r="AO3" s="90"/>
      <c r="AP3" s="90"/>
      <c r="AQ3" s="90"/>
      <c r="AR3" s="90"/>
      <c r="AS3" s="90"/>
      <c r="AT3" s="90"/>
      <c r="AU3" s="83" t="e">
        <f>'[2]MEDEVAC Add''l Travlr Calculator'!$AL3*(('[2]MEDEVAC Add''l Travlr Calculator'!$AM3*'[2]MEDEVAC Add''l Travlr Calculator'!$AN3)+('[2]MEDEVAC Add''l Travlr Calculator'!$AO3*'[2]MEDEVAC Add''l Travlr Calculator'!$AP3)+('[2]MEDEVAC Add''l Travlr Calculator'!$AQ3*'[2]MEDEVAC Add''l Travlr Calculator'!$AR3)+('[2]MEDEVAC Add''l Travlr Calculator'!$AS3*'[2]MEDEVAC Add''l Travlr Calculator'!$AT3))</f>
        <v>#REF!</v>
      </c>
      <c r="AV3" s="88"/>
      <c r="AW3" s="88"/>
      <c r="AX3" s="88"/>
      <c r="AY3" s="88"/>
      <c r="AZ3" s="88"/>
      <c r="BA3" s="88"/>
      <c r="BB3" s="88"/>
      <c r="BC3" s="88"/>
      <c r="BD3" s="88"/>
      <c r="BE3" s="83" t="e">
        <f>'[2]MEDEVAC Add''l Travlr Calculator'!$AV3*(('[2]MEDEVAC Add''l Travlr Calculator'!$AW3*'[2]MEDEVAC Add''l Travlr Calculator'!$AX3)+('[2]MEDEVAC Add''l Travlr Calculator'!$AY3*'[2]MEDEVAC Add''l Travlr Calculator'!$AZ3)+('[2]MEDEVAC Add''l Travlr Calculator'!$BA3*'[2]MEDEVAC Add''l Travlr Calculator'!$BB3)+('[2]MEDEVAC Add''l Travlr Calculator'!$BC3*'[2]MEDEVAC Add''l Travlr Calculator'!$BD3))</f>
        <v>#REF!</v>
      </c>
      <c r="BF3" s="91"/>
      <c r="BG3" s="91"/>
      <c r="BH3" s="91"/>
      <c r="BI3" s="91"/>
      <c r="BJ3" s="91"/>
      <c r="BK3" s="91"/>
      <c r="BL3" s="91"/>
      <c r="BM3" s="91"/>
      <c r="BN3" s="91"/>
      <c r="BO3" s="83" t="e">
        <f>'[2]MEDEVAC Add''l Travlr Calculator'!$BF3*(('[2]MEDEVAC Add''l Travlr Calculator'!$BG3*'[2]MEDEVAC Add''l Travlr Calculator'!$BH3)+('[2]MEDEVAC Add''l Travlr Calculator'!$BI3*'[2]MEDEVAC Add''l Travlr Calculator'!$BJ3)+('[2]MEDEVAC Add''l Travlr Calculator'!$BK3*'[2]MEDEVAC Add''l Travlr Calculator'!$BL3)+('[2]MEDEVAC Add''l Travlr Calculator'!$BM3*'[2]MEDEVAC Add''l Travlr Calculator'!$BN3))</f>
        <v>#REF!</v>
      </c>
      <c r="BP3" s="82"/>
      <c r="BQ3" s="82"/>
      <c r="BR3" s="82"/>
      <c r="BS3" s="82"/>
      <c r="BT3" s="82"/>
      <c r="BU3" s="82"/>
      <c r="BV3" s="82"/>
      <c r="BW3" s="82"/>
      <c r="BX3" s="82"/>
      <c r="BY3" s="83" t="e">
        <f>'[2]MEDEVAC Add''l Travlr Calculator'!$BP3*(('[2]MEDEVAC Add''l Travlr Calculator'!$BQ3*'[2]MEDEVAC Add''l Travlr Calculator'!$BR3)+('[2]MEDEVAC Add''l Travlr Calculator'!$BS3*'[2]MEDEVAC Add''l Travlr Calculator'!$BT3)+('[2]MEDEVAC Add''l Travlr Calculator'!$BU3*'[2]MEDEVAC Add''l Travlr Calculator'!$BV3)+('[2]MEDEVAC Add''l Travlr Calculator'!$BW3*'[2]MEDEVAC Add''l Travlr Calculator'!$BX3))</f>
        <v>#REF!</v>
      </c>
      <c r="BZ3" s="87"/>
      <c r="CA3" s="87"/>
      <c r="CB3" s="87"/>
      <c r="CC3" s="87"/>
      <c r="CD3" s="87"/>
      <c r="CE3" s="87"/>
      <c r="CF3" s="87"/>
      <c r="CG3" s="87"/>
      <c r="CH3" s="87"/>
      <c r="CI3" s="83" t="e">
        <f>'[2]MEDEVAC Add''l Travlr Calculator'!$BZ3*(('[2]MEDEVAC Add''l Travlr Calculator'!$CA3*'[2]MEDEVAC Add''l Travlr Calculator'!$CB3)+('[2]MEDEVAC Add''l Travlr Calculator'!$CC3*'[2]MEDEVAC Add''l Travlr Calculator'!$CD3)+('[2]MEDEVAC Add''l Travlr Calculator'!$CE3*'[2]MEDEVAC Add''l Travlr Calculator'!$CF3)+('[2]MEDEVAC Add''l Travlr Calculator'!$CG3*'[2]MEDEVAC Add''l Travlr Calculator'!$CH3))</f>
        <v>#REF!</v>
      </c>
      <c r="CJ3" s="90"/>
      <c r="CK3" s="90"/>
      <c r="CL3" s="90"/>
      <c r="CM3" s="90"/>
      <c r="CN3" s="90"/>
      <c r="CO3" s="90"/>
      <c r="CP3" s="90"/>
      <c r="CQ3" s="90"/>
      <c r="CR3" s="90"/>
      <c r="CS3" s="83" t="e">
        <f>'[2]MEDEVAC Add''l Travlr Calculator'!$CJ3*(('[2]MEDEVAC Add''l Travlr Calculator'!$CK3*'[2]MEDEVAC Add''l Travlr Calculator'!$CL3)+('[2]MEDEVAC Add''l Travlr Calculator'!$CM3*'[2]MEDEVAC Add''l Travlr Calculator'!$CN3)+('[2]MEDEVAC Add''l Travlr Calculator'!$CO3*'[2]MEDEVAC Add''l Travlr Calculator'!$CP3)+('[2]MEDEVAC Add''l Travlr Calculator'!$CQ3*'[2]MEDEVAC Add''l Travlr Calculator'!$CR3))</f>
        <v>#REF!</v>
      </c>
      <c r="CT3" s="89"/>
      <c r="CU3" s="89"/>
      <c r="CV3" s="89"/>
      <c r="CW3" s="89"/>
      <c r="CX3" s="89"/>
      <c r="CY3" s="89"/>
      <c r="CZ3" s="89"/>
      <c r="DA3" s="89"/>
      <c r="DB3" s="89"/>
      <c r="DC3" s="83" t="e">
        <f>'[2]MEDEVAC Add''l Travlr Calculator'!$CT3*(('[2]MEDEVAC Add''l Travlr Calculator'!$CU3*'[2]MEDEVAC Add''l Travlr Calculator'!$CV3)+('[2]MEDEVAC Add''l Travlr Calculator'!$CW3*'[2]MEDEVAC Add''l Travlr Calculator'!$CX3)+('[2]MEDEVAC Add''l Travlr Calculator'!$CY3*'[2]MEDEVAC Add''l Travlr Calculator'!$CZ3)+('[2]MEDEVAC Add''l Travlr Calculator'!$DA3*'[2]MEDEVAC Add''l Travlr Calculator'!$DB3))</f>
        <v>#REF!</v>
      </c>
      <c r="DD3" s="88"/>
      <c r="DE3" s="88"/>
      <c r="DF3" s="88"/>
      <c r="DG3" s="88"/>
      <c r="DH3" s="88"/>
      <c r="DI3" s="88"/>
      <c r="DJ3" s="88"/>
      <c r="DK3" s="88"/>
      <c r="DL3" s="88"/>
      <c r="DM3" s="83" t="e">
        <f>'[2]MEDEVAC Add''l Travlr Calculator'!$DD3*(('[2]MEDEVAC Add''l Travlr Calculator'!$DE3*'[2]MEDEVAC Add''l Travlr Calculator'!$DF3)+('[2]MEDEVAC Add''l Travlr Calculator'!$DG3*'[2]MEDEVAC Add''l Travlr Calculator'!$DH3)+('[2]MEDEVAC Add''l Travlr Calculator'!$DI3*'[2]MEDEVAC Add''l Travlr Calculator'!$DJ3)+('[2]MEDEVAC Add''l Travlr Calculator'!$DK3*'[2]MEDEVAC Add''l Travlr Calculator'!$DL3))</f>
        <v>#REF!</v>
      </c>
      <c r="DN3" s="92"/>
      <c r="DO3" s="92"/>
      <c r="DP3" s="92"/>
      <c r="DQ3" s="92"/>
      <c r="DR3" s="92"/>
      <c r="DS3" s="92"/>
      <c r="DT3" s="92"/>
      <c r="DU3" s="92"/>
      <c r="DV3" s="92"/>
      <c r="DW3" s="83" t="e">
        <f>'[2]MEDEVAC Add''l Travlr Calculator'!$DN3*(('[2]MEDEVAC Add''l Travlr Calculator'!$DO3*'[2]MEDEVAC Add''l Travlr Calculator'!$DP3)+('[2]MEDEVAC Add''l Travlr Calculator'!$DQ3*'[2]MEDEVAC Add''l Travlr Calculator'!$DR3)+('[2]MEDEVAC Add''l Travlr Calculator'!$DS3*'[2]MEDEVAC Add''l Travlr Calculator'!$DT3)+('[2]MEDEVAC Add''l Travlr Calculator'!$DU3*'[2]MEDEVAC Add''l Travlr Calculator'!$DV3))</f>
        <v>#REF!</v>
      </c>
      <c r="DX3" s="27"/>
      <c r="DY3" s="27"/>
      <c r="DZ3" s="27"/>
      <c r="EA3" s="27"/>
    </row>
    <row r="4" spans="1:131" ht="15.6" customHeight="1" x14ac:dyDescent="0.25">
      <c r="A4" s="27"/>
      <c r="B4" s="94">
        <v>2390001</v>
      </c>
      <c r="C4" s="50" t="s">
        <v>927</v>
      </c>
      <c r="D4" s="51">
        <v>460.5</v>
      </c>
      <c r="E4" s="50" t="s">
        <v>349</v>
      </c>
      <c r="F4" s="95" t="s">
        <v>924</v>
      </c>
      <c r="G4" s="95" t="s">
        <v>924</v>
      </c>
      <c r="H4" s="96">
        <v>0.5</v>
      </c>
      <c r="I4" s="55">
        <v>307</v>
      </c>
      <c r="J4" s="54">
        <v>3</v>
      </c>
      <c r="K4" s="54"/>
      <c r="L4" s="54"/>
      <c r="M4" s="54"/>
      <c r="N4" s="54"/>
      <c r="O4" s="54"/>
      <c r="P4" s="54"/>
      <c r="Q4" s="51">
        <v>460.5</v>
      </c>
      <c r="R4" s="57"/>
      <c r="S4" s="57"/>
      <c r="T4" s="57"/>
      <c r="U4" s="57"/>
      <c r="V4" s="57"/>
      <c r="W4" s="57"/>
      <c r="X4" s="57"/>
      <c r="Y4" s="57"/>
      <c r="Z4" s="57"/>
      <c r="AA4" s="51">
        <v>0</v>
      </c>
      <c r="AB4" s="61"/>
      <c r="AC4" s="61"/>
      <c r="AD4" s="61"/>
      <c r="AE4" s="61"/>
      <c r="AF4" s="61"/>
      <c r="AG4" s="61"/>
      <c r="AH4" s="61"/>
      <c r="AI4" s="61"/>
      <c r="AJ4" s="61"/>
      <c r="AK4" s="51">
        <v>0</v>
      </c>
      <c r="AL4" s="62"/>
      <c r="AM4" s="62"/>
      <c r="AN4" s="62"/>
      <c r="AO4" s="62"/>
      <c r="AP4" s="62"/>
      <c r="AQ4" s="62"/>
      <c r="AR4" s="62"/>
      <c r="AS4" s="62"/>
      <c r="AT4" s="62"/>
      <c r="AU4" s="51">
        <v>0</v>
      </c>
      <c r="AV4" s="57"/>
      <c r="AW4" s="57"/>
      <c r="AX4" s="57"/>
      <c r="AY4" s="57"/>
      <c r="AZ4" s="57"/>
      <c r="BA4" s="57"/>
      <c r="BB4" s="57"/>
      <c r="BC4" s="57"/>
      <c r="BD4" s="57"/>
      <c r="BE4" s="51">
        <v>0</v>
      </c>
      <c r="BF4" s="97"/>
      <c r="BG4" s="97"/>
      <c r="BH4" s="97"/>
      <c r="BI4" s="97"/>
      <c r="BJ4" s="97"/>
      <c r="BK4" s="97"/>
      <c r="BL4" s="97"/>
      <c r="BM4" s="97"/>
      <c r="BN4" s="97"/>
      <c r="BO4" s="51">
        <v>0</v>
      </c>
      <c r="BP4" s="50"/>
      <c r="BQ4" s="50"/>
      <c r="BR4" s="50"/>
      <c r="BS4" s="50"/>
      <c r="BT4" s="50"/>
      <c r="BU4" s="50"/>
      <c r="BV4" s="50"/>
      <c r="BW4" s="50"/>
      <c r="BX4" s="50"/>
      <c r="BY4" s="51">
        <v>0</v>
      </c>
      <c r="BZ4" s="54"/>
      <c r="CA4" s="54"/>
      <c r="CB4" s="54"/>
      <c r="CC4" s="54"/>
      <c r="CD4" s="54"/>
      <c r="CE4" s="54"/>
      <c r="CF4" s="54"/>
      <c r="CG4" s="54"/>
      <c r="CH4" s="54"/>
      <c r="CI4" s="51">
        <v>0</v>
      </c>
      <c r="CJ4" s="62"/>
      <c r="CK4" s="62"/>
      <c r="CL4" s="62"/>
      <c r="CM4" s="62"/>
      <c r="CN4" s="62"/>
      <c r="CO4" s="62"/>
      <c r="CP4" s="62"/>
      <c r="CQ4" s="62"/>
      <c r="CR4" s="62"/>
      <c r="CS4" s="51">
        <v>0</v>
      </c>
      <c r="CT4" s="61"/>
      <c r="CU4" s="61"/>
      <c r="CV4" s="61"/>
      <c r="CW4" s="61"/>
      <c r="CX4" s="61"/>
      <c r="CY4" s="61"/>
      <c r="CZ4" s="61"/>
      <c r="DA4" s="61"/>
      <c r="DB4" s="61"/>
      <c r="DC4" s="51">
        <v>0</v>
      </c>
      <c r="DD4" s="57"/>
      <c r="DE4" s="57"/>
      <c r="DF4" s="57"/>
      <c r="DG4" s="57"/>
      <c r="DH4" s="57"/>
      <c r="DI4" s="57"/>
      <c r="DJ4" s="57"/>
      <c r="DK4" s="57"/>
      <c r="DL4" s="57"/>
      <c r="DM4" s="51">
        <v>0</v>
      </c>
      <c r="DN4" s="63"/>
      <c r="DO4" s="63"/>
      <c r="DP4" s="63"/>
      <c r="DQ4" s="63"/>
      <c r="DR4" s="63"/>
      <c r="DS4" s="63"/>
      <c r="DT4" s="63"/>
      <c r="DU4" s="63"/>
      <c r="DV4" s="63"/>
      <c r="DW4" s="51">
        <v>0</v>
      </c>
      <c r="DX4" s="27"/>
      <c r="DY4" s="27"/>
      <c r="DZ4" s="27"/>
      <c r="EA4" s="2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628F-2F07-4889-91C8-491F1FC3B187}">
  <dimension ref="A1:P313"/>
  <sheetViews>
    <sheetView workbookViewId="0">
      <selection activeCell="C15" sqref="C15"/>
    </sheetView>
  </sheetViews>
  <sheetFormatPr defaultRowHeight="13.15" customHeight="1" x14ac:dyDescent="0.25"/>
  <cols>
    <col min="1" max="1" width="9" customWidth="1"/>
    <col min="2" max="2" width="16" customWidth="1"/>
    <col min="4" max="4" width="13.28515625" customWidth="1"/>
    <col min="6" max="6" width="22" bestFit="1" customWidth="1"/>
    <col min="7" max="7" width="34.140625" bestFit="1" customWidth="1"/>
    <col min="8" max="8" width="15.85546875" customWidth="1"/>
    <col min="11" max="11" width="13.42578125" bestFit="1" customWidth="1"/>
    <col min="12" max="12" width="20.28515625" bestFit="1" customWidth="1"/>
    <col min="13" max="13" width="20.7109375" customWidth="1"/>
    <col min="15" max="16" width="11" bestFit="1" customWidth="1"/>
  </cols>
  <sheetData>
    <row r="1" spans="1:16" ht="13.15" customHeight="1" x14ac:dyDescent="0.25">
      <c r="A1" s="1"/>
      <c r="B1" s="1"/>
      <c r="C1" s="1"/>
      <c r="D1" s="2"/>
      <c r="E1" s="1"/>
      <c r="F1" s="26" t="s">
        <v>350</v>
      </c>
      <c r="G1" s="26" t="s">
        <v>351</v>
      </c>
      <c r="H1" s="26" t="s">
        <v>352</v>
      </c>
      <c r="I1" s="1"/>
      <c r="J1" s="1"/>
      <c r="K1" s="1"/>
      <c r="L1" s="1"/>
      <c r="M1" s="1"/>
      <c r="N1" s="1"/>
      <c r="O1" s="1"/>
      <c r="P1" s="1"/>
    </row>
    <row r="2" spans="1:16" ht="13.15" customHeight="1" x14ac:dyDescent="0.25">
      <c r="A2" s="1"/>
      <c r="B2" s="3" t="s">
        <v>16</v>
      </c>
      <c r="C2" s="1"/>
      <c r="D2" s="25" t="s">
        <v>353</v>
      </c>
      <c r="E2" s="1"/>
      <c r="F2" s="4" t="s">
        <v>354</v>
      </c>
      <c r="G2" s="5" t="s">
        <v>355</v>
      </c>
      <c r="H2" s="4" t="s">
        <v>356</v>
      </c>
      <c r="I2" s="1"/>
      <c r="J2" s="1"/>
      <c r="K2" s="6" t="s">
        <v>357</v>
      </c>
      <c r="L2" s="1"/>
      <c r="M2" s="6" t="s">
        <v>358</v>
      </c>
      <c r="N2" s="1"/>
      <c r="O2" s="3" t="s">
        <v>359</v>
      </c>
      <c r="P2" s="3" t="s">
        <v>360</v>
      </c>
    </row>
    <row r="3" spans="1:16" ht="13.15" customHeight="1" x14ac:dyDescent="0.25">
      <c r="A3" s="1"/>
      <c r="B3" s="7" t="s">
        <v>361</v>
      </c>
      <c r="C3" s="1"/>
      <c r="D3" s="8" t="s">
        <v>265</v>
      </c>
      <c r="E3" s="1"/>
      <c r="F3" s="4" t="s">
        <v>362</v>
      </c>
      <c r="G3" s="5" t="s">
        <v>363</v>
      </c>
      <c r="H3" s="4" t="s">
        <v>356</v>
      </c>
      <c r="I3" s="1"/>
      <c r="J3" s="1"/>
      <c r="K3" s="9" t="s">
        <v>364</v>
      </c>
      <c r="L3" s="1"/>
      <c r="M3" s="9" t="s">
        <v>271</v>
      </c>
      <c r="N3" s="1"/>
      <c r="O3" s="7" t="s">
        <v>365</v>
      </c>
      <c r="P3" s="7" t="s">
        <v>366</v>
      </c>
    </row>
    <row r="4" spans="1:16" ht="13.15" customHeight="1" x14ac:dyDescent="0.25">
      <c r="A4" s="1"/>
      <c r="B4" s="1" t="s">
        <v>367</v>
      </c>
      <c r="C4" s="1"/>
      <c r="D4" s="2" t="s">
        <v>368</v>
      </c>
      <c r="E4" s="1"/>
      <c r="F4" s="4" t="s">
        <v>369</v>
      </c>
      <c r="G4" s="5" t="s">
        <v>363</v>
      </c>
      <c r="H4" s="4" t="s">
        <v>356</v>
      </c>
      <c r="I4" s="1"/>
      <c r="J4" s="1"/>
      <c r="K4" s="10" t="s">
        <v>370</v>
      </c>
      <c r="L4" s="3" t="s">
        <v>249</v>
      </c>
      <c r="M4" s="9" t="s">
        <v>263</v>
      </c>
      <c r="N4" s="1"/>
      <c r="O4" s="1" t="s">
        <v>371</v>
      </c>
      <c r="P4" s="1" t="s">
        <v>372</v>
      </c>
    </row>
    <row r="5" spans="1:16" ht="13.15" customHeight="1" x14ac:dyDescent="0.25">
      <c r="A5" s="1"/>
      <c r="B5" s="7" t="s">
        <v>373</v>
      </c>
      <c r="C5" s="1"/>
      <c r="D5" s="1"/>
      <c r="E5" s="1"/>
      <c r="F5" s="4" t="s">
        <v>374</v>
      </c>
      <c r="G5" s="5" t="s">
        <v>375</v>
      </c>
      <c r="H5" s="4" t="s">
        <v>356</v>
      </c>
      <c r="I5" s="1"/>
      <c r="J5" s="1"/>
      <c r="K5" s="11" t="s">
        <v>356</v>
      </c>
      <c r="L5" s="7" t="s">
        <v>376</v>
      </c>
      <c r="M5" s="1"/>
      <c r="N5" s="1"/>
      <c r="O5" s="7" t="s">
        <v>377</v>
      </c>
      <c r="P5" s="7" t="s">
        <v>378</v>
      </c>
    </row>
    <row r="6" spans="1:16" ht="13.15" customHeight="1" x14ac:dyDescent="0.25">
      <c r="A6" s="1"/>
      <c r="B6" s="1" t="s">
        <v>269</v>
      </c>
      <c r="C6" s="1"/>
      <c r="D6" s="1"/>
      <c r="E6" s="1"/>
      <c r="F6" s="4" t="s">
        <v>379</v>
      </c>
      <c r="G6" s="5" t="s">
        <v>380</v>
      </c>
      <c r="H6" s="4" t="s">
        <v>356</v>
      </c>
      <c r="I6" s="1"/>
      <c r="J6" s="1"/>
      <c r="K6" s="11" t="s">
        <v>381</v>
      </c>
      <c r="L6" s="1" t="s">
        <v>382</v>
      </c>
      <c r="M6" s="1"/>
      <c r="N6" s="1"/>
      <c r="O6" s="1" t="s">
        <v>383</v>
      </c>
      <c r="P6" s="1" t="s">
        <v>384</v>
      </c>
    </row>
    <row r="7" spans="1:16" ht="13.15" customHeight="1" x14ac:dyDescent="0.25">
      <c r="A7" s="1"/>
      <c r="B7" s="7" t="s">
        <v>385</v>
      </c>
      <c r="C7" s="1"/>
      <c r="D7" s="3" t="s">
        <v>386</v>
      </c>
      <c r="E7" s="1"/>
      <c r="F7" s="4" t="s">
        <v>387</v>
      </c>
      <c r="G7" s="5" t="s">
        <v>388</v>
      </c>
      <c r="H7" s="4" t="s">
        <v>356</v>
      </c>
      <c r="I7" s="1"/>
      <c r="J7" s="1"/>
      <c r="K7" s="12" t="s">
        <v>389</v>
      </c>
      <c r="L7" s="7" t="s">
        <v>267</v>
      </c>
      <c r="M7" s="1"/>
      <c r="N7" s="1"/>
      <c r="O7" s="7" t="s">
        <v>390</v>
      </c>
      <c r="P7" s="7" t="s">
        <v>391</v>
      </c>
    </row>
    <row r="8" spans="1:16" ht="13.15" customHeight="1" x14ac:dyDescent="0.25">
      <c r="A8" s="1"/>
      <c r="B8" s="1" t="s">
        <v>260</v>
      </c>
      <c r="C8" s="1"/>
      <c r="D8" s="13" t="s">
        <v>392</v>
      </c>
      <c r="E8" s="1"/>
      <c r="F8" s="4" t="s">
        <v>393</v>
      </c>
      <c r="G8" s="5" t="s">
        <v>388</v>
      </c>
      <c r="H8" s="4" t="s">
        <v>356</v>
      </c>
      <c r="I8" s="1"/>
      <c r="J8" s="1"/>
      <c r="K8" s="9" t="s">
        <v>394</v>
      </c>
      <c r="L8" s="1" t="s">
        <v>395</v>
      </c>
      <c r="M8" s="3" t="s">
        <v>396</v>
      </c>
      <c r="N8" s="1"/>
      <c r="O8" s="1" t="s">
        <v>397</v>
      </c>
      <c r="P8" s="1" t="s">
        <v>268</v>
      </c>
    </row>
    <row r="9" spans="1:16" ht="13.15" customHeight="1" x14ac:dyDescent="0.25">
      <c r="A9" s="1"/>
      <c r="B9" s="7" t="s">
        <v>398</v>
      </c>
      <c r="C9" s="1"/>
      <c r="D9" s="14" t="s">
        <v>399</v>
      </c>
      <c r="E9" s="1"/>
      <c r="F9" s="4" t="s">
        <v>400</v>
      </c>
      <c r="G9" s="5" t="s">
        <v>401</v>
      </c>
      <c r="H9" s="4" t="s">
        <v>356</v>
      </c>
      <c r="I9" s="1"/>
      <c r="J9" s="1"/>
      <c r="K9" s="1"/>
      <c r="L9" s="7" t="s">
        <v>273</v>
      </c>
      <c r="M9" s="7" t="s">
        <v>402</v>
      </c>
      <c r="N9" s="1"/>
      <c r="O9" s="7" t="s">
        <v>403</v>
      </c>
      <c r="P9" s="7" t="s">
        <v>404</v>
      </c>
    </row>
    <row r="10" spans="1:16" ht="13.15" customHeight="1" x14ac:dyDescent="0.25">
      <c r="A10" s="1"/>
      <c r="B10" s="1" t="s">
        <v>405</v>
      </c>
      <c r="C10" s="1"/>
      <c r="D10" s="13" t="s">
        <v>406</v>
      </c>
      <c r="E10" s="1"/>
      <c r="F10" s="4" t="s">
        <v>407</v>
      </c>
      <c r="G10" s="5" t="s">
        <v>408</v>
      </c>
      <c r="H10" s="4" t="s">
        <v>356</v>
      </c>
      <c r="I10" s="1"/>
      <c r="J10" s="1"/>
      <c r="K10" s="1"/>
      <c r="L10" s="1" t="s">
        <v>409</v>
      </c>
      <c r="M10" s="1" t="s">
        <v>410</v>
      </c>
      <c r="N10" s="1"/>
      <c r="O10" s="1"/>
      <c r="P10" s="1" t="s">
        <v>411</v>
      </c>
    </row>
    <row r="11" spans="1:16" ht="13.15" customHeight="1" x14ac:dyDescent="0.25">
      <c r="A11" s="1"/>
      <c r="B11" s="7" t="s">
        <v>412</v>
      </c>
      <c r="C11" s="1"/>
      <c r="D11" s="14" t="s">
        <v>413</v>
      </c>
      <c r="E11" s="1"/>
      <c r="F11" s="4" t="s">
        <v>414</v>
      </c>
      <c r="G11" s="5" t="s">
        <v>415</v>
      </c>
      <c r="H11" s="4" t="s">
        <v>356</v>
      </c>
      <c r="I11" s="1"/>
      <c r="J11" s="1"/>
      <c r="K11" s="1"/>
      <c r="L11" s="1"/>
      <c r="M11" s="1"/>
      <c r="N11" s="1"/>
      <c r="O11" s="1"/>
      <c r="P11" s="7" t="s">
        <v>416</v>
      </c>
    </row>
    <row r="12" spans="1:16" ht="13.15" customHeight="1" x14ac:dyDescent="0.25">
      <c r="A12" s="1"/>
      <c r="B12" s="1"/>
      <c r="C12" s="1"/>
      <c r="D12" s="14" t="s">
        <v>417</v>
      </c>
      <c r="E12" s="1"/>
      <c r="F12" s="4" t="s">
        <v>418</v>
      </c>
      <c r="G12" s="5" t="s">
        <v>419</v>
      </c>
      <c r="H12" s="4" t="s">
        <v>356</v>
      </c>
      <c r="I12" s="1"/>
      <c r="J12" s="1"/>
      <c r="K12" s="15" t="s">
        <v>420</v>
      </c>
      <c r="L12" s="1"/>
      <c r="M12" s="1"/>
      <c r="N12" s="1"/>
      <c r="O12" s="1"/>
      <c r="P12" s="1" t="s">
        <v>421</v>
      </c>
    </row>
    <row r="13" spans="1:16" ht="13.15" customHeight="1" x14ac:dyDescent="0.25">
      <c r="A13" s="1"/>
      <c r="B13" s="1"/>
      <c r="C13" s="1"/>
      <c r="D13" s="13" t="s">
        <v>422</v>
      </c>
      <c r="E13" s="1"/>
      <c r="F13" s="4" t="s">
        <v>423</v>
      </c>
      <c r="G13" s="5" t="s">
        <v>424</v>
      </c>
      <c r="H13" s="4" t="s">
        <v>356</v>
      </c>
      <c r="I13" s="1"/>
      <c r="J13" s="1"/>
      <c r="K13" s="1" t="s">
        <v>261</v>
      </c>
      <c r="L13" s="1"/>
      <c r="M13" s="1"/>
      <c r="N13" s="1"/>
      <c r="O13" s="1"/>
      <c r="P13" s="7" t="s">
        <v>425</v>
      </c>
    </row>
    <row r="14" spans="1:16" ht="13.15" customHeight="1" x14ac:dyDescent="0.25">
      <c r="A14" s="1"/>
      <c r="B14" s="1"/>
      <c r="C14" s="1"/>
      <c r="D14" s="1"/>
      <c r="E14" s="1"/>
      <c r="F14" s="4" t="s">
        <v>426</v>
      </c>
      <c r="G14" s="5" t="s">
        <v>427</v>
      </c>
      <c r="H14" s="4" t="s">
        <v>356</v>
      </c>
      <c r="I14" s="1"/>
      <c r="J14" s="1"/>
      <c r="K14" s="1" t="s">
        <v>428</v>
      </c>
      <c r="L14" s="1"/>
      <c r="M14" s="3" t="s">
        <v>11</v>
      </c>
      <c r="N14" s="1"/>
      <c r="O14" s="1"/>
      <c r="P14" s="1"/>
    </row>
    <row r="15" spans="1:16" ht="13.15" customHeight="1" x14ac:dyDescent="0.25">
      <c r="A15" s="1"/>
      <c r="B15" s="1"/>
      <c r="C15" s="1"/>
      <c r="D15" s="1"/>
      <c r="E15" s="1"/>
      <c r="F15" s="4" t="s">
        <v>429</v>
      </c>
      <c r="G15" s="5" t="s">
        <v>427</v>
      </c>
      <c r="H15" s="4" t="s">
        <v>356</v>
      </c>
      <c r="I15" s="1"/>
      <c r="J15" s="1"/>
      <c r="K15" s="1" t="s">
        <v>430</v>
      </c>
      <c r="L15" s="1"/>
      <c r="M15" s="7" t="s">
        <v>259</v>
      </c>
      <c r="N15" s="1"/>
      <c r="O15" s="1"/>
      <c r="P15" s="1"/>
    </row>
    <row r="16" spans="1:16" ht="13.15" customHeight="1" x14ac:dyDescent="0.25">
      <c r="A16" s="1"/>
      <c r="B16" s="1"/>
      <c r="C16" s="1"/>
      <c r="D16" s="1"/>
      <c r="E16" s="1"/>
      <c r="F16" s="4" t="s">
        <v>431</v>
      </c>
      <c r="G16" s="5" t="s">
        <v>432</v>
      </c>
      <c r="H16" s="4" t="s">
        <v>356</v>
      </c>
      <c r="I16" s="1"/>
      <c r="J16" s="1"/>
      <c r="K16" s="1"/>
      <c r="L16" s="1"/>
      <c r="M16" s="1" t="s">
        <v>433</v>
      </c>
      <c r="N16" s="1"/>
      <c r="O16" s="1"/>
      <c r="P16" s="1"/>
    </row>
    <row r="17" spans="1:16" ht="13.15" customHeight="1" x14ac:dyDescent="0.25">
      <c r="A17" s="1"/>
      <c r="B17" s="1"/>
      <c r="C17" s="1"/>
      <c r="D17" s="1"/>
      <c r="E17" s="1"/>
      <c r="F17" s="4" t="s">
        <v>434</v>
      </c>
      <c r="G17" s="5" t="s">
        <v>434</v>
      </c>
      <c r="H17" s="4" t="s">
        <v>356</v>
      </c>
      <c r="I17" s="1"/>
      <c r="J17" s="1"/>
      <c r="K17" s="1"/>
      <c r="L17" s="1"/>
      <c r="M17" s="7" t="s">
        <v>268</v>
      </c>
      <c r="N17" s="1"/>
      <c r="O17" s="1"/>
      <c r="P17" s="1"/>
    </row>
    <row r="18" spans="1:16" ht="13.15" customHeight="1" x14ac:dyDescent="0.25">
      <c r="A18" s="1"/>
      <c r="B18" s="1"/>
      <c r="C18" s="1"/>
      <c r="D18" s="1"/>
      <c r="E18" s="1"/>
      <c r="F18" s="4" t="s">
        <v>435</v>
      </c>
      <c r="G18" s="5" t="s">
        <v>436</v>
      </c>
      <c r="H18" s="4" t="s">
        <v>356</v>
      </c>
      <c r="I18" s="1"/>
      <c r="J18" s="1"/>
      <c r="K18" s="1"/>
      <c r="L18" s="1"/>
      <c r="M18" s="1"/>
      <c r="N18" s="1"/>
      <c r="O18" s="1"/>
      <c r="P18" s="1"/>
    </row>
    <row r="19" spans="1:16" ht="13.15" customHeight="1" x14ac:dyDescent="0.25">
      <c r="A19" s="1"/>
      <c r="B19" s="1"/>
      <c r="C19" s="1"/>
      <c r="D19" s="1"/>
      <c r="E19" s="1"/>
      <c r="F19" s="4" t="s">
        <v>437</v>
      </c>
      <c r="G19" s="5" t="s">
        <v>438</v>
      </c>
      <c r="H19" s="4" t="s">
        <v>356</v>
      </c>
      <c r="I19" s="1"/>
      <c r="J19" s="1"/>
      <c r="K19" s="1"/>
      <c r="L19" s="3" t="s">
        <v>439</v>
      </c>
      <c r="M19" s="1"/>
      <c r="N19" s="1"/>
      <c r="O19" s="1"/>
      <c r="P19" s="1"/>
    </row>
    <row r="20" spans="1:16" ht="13.15" customHeight="1" x14ac:dyDescent="0.25">
      <c r="A20" s="1"/>
      <c r="B20" s="1"/>
      <c r="C20" s="1"/>
      <c r="D20" s="1"/>
      <c r="E20" s="1"/>
      <c r="F20" s="4" t="s">
        <v>440</v>
      </c>
      <c r="G20" s="5" t="s">
        <v>441</v>
      </c>
      <c r="H20" s="4" t="s">
        <v>356</v>
      </c>
      <c r="I20" s="1"/>
      <c r="J20" s="1"/>
      <c r="K20" s="1"/>
      <c r="L20" s="7" t="s">
        <v>442</v>
      </c>
      <c r="M20" s="1"/>
      <c r="N20" s="1"/>
      <c r="O20" s="1"/>
      <c r="P20" s="1"/>
    </row>
    <row r="21" spans="1:16" ht="13.15" customHeight="1" x14ac:dyDescent="0.25">
      <c r="A21" s="1"/>
      <c r="B21" s="1"/>
      <c r="C21" s="1"/>
      <c r="D21" s="1"/>
      <c r="E21" s="1"/>
      <c r="F21" s="4" t="s">
        <v>443</v>
      </c>
      <c r="G21" s="5" t="s">
        <v>444</v>
      </c>
      <c r="H21" s="4" t="s">
        <v>356</v>
      </c>
      <c r="I21" s="1"/>
      <c r="J21" s="1"/>
      <c r="K21" s="1"/>
      <c r="L21" s="1" t="s">
        <v>445</v>
      </c>
      <c r="M21" s="1"/>
      <c r="N21" s="1"/>
      <c r="O21" s="1"/>
      <c r="P21" s="1"/>
    </row>
    <row r="22" spans="1:16" ht="13.15" customHeight="1" x14ac:dyDescent="0.25">
      <c r="A22" s="1"/>
      <c r="B22" s="1"/>
      <c r="C22" s="1"/>
      <c r="D22" s="1"/>
      <c r="E22" s="1"/>
      <c r="F22" s="4" t="s">
        <v>446</v>
      </c>
      <c r="G22" s="5" t="s">
        <v>447</v>
      </c>
      <c r="H22" s="4" t="s">
        <v>356</v>
      </c>
      <c r="I22" s="1"/>
      <c r="J22" s="1"/>
      <c r="K22" s="1"/>
      <c r="L22" s="7" t="s">
        <v>448</v>
      </c>
      <c r="M22" s="1"/>
      <c r="N22" s="1"/>
      <c r="O22" s="1"/>
      <c r="P22" s="1"/>
    </row>
    <row r="23" spans="1:16" ht="13.15" customHeight="1" x14ac:dyDescent="0.25">
      <c r="A23" s="1"/>
      <c r="B23" s="1"/>
      <c r="C23" s="1"/>
      <c r="D23" s="1"/>
      <c r="E23" s="1"/>
      <c r="F23" s="4" t="s">
        <v>449</v>
      </c>
      <c r="G23" s="5" t="s">
        <v>450</v>
      </c>
      <c r="H23" s="4" t="s">
        <v>356</v>
      </c>
      <c r="I23" s="1"/>
      <c r="J23" s="1"/>
      <c r="K23" s="1"/>
      <c r="L23" s="1" t="s">
        <v>349</v>
      </c>
      <c r="M23" s="1"/>
      <c r="N23" s="1"/>
      <c r="O23" s="1"/>
      <c r="P23" s="1"/>
    </row>
    <row r="24" spans="1:16" ht="13.15" customHeight="1" x14ac:dyDescent="0.25">
      <c r="A24" s="1"/>
      <c r="B24" s="1"/>
      <c r="C24" s="1"/>
      <c r="D24" s="1"/>
      <c r="E24" s="1"/>
      <c r="F24" s="4" t="s">
        <v>451</v>
      </c>
      <c r="G24" s="5" t="s">
        <v>452</v>
      </c>
      <c r="H24" s="4" t="s">
        <v>356</v>
      </c>
      <c r="I24" s="1"/>
      <c r="J24" s="1"/>
      <c r="K24" s="1"/>
      <c r="L24" s="1"/>
      <c r="M24" s="1"/>
      <c r="N24" s="1"/>
      <c r="O24" s="1"/>
      <c r="P24" s="1"/>
    </row>
    <row r="25" spans="1:16" ht="13.15" customHeight="1" x14ac:dyDescent="0.25">
      <c r="A25" s="1"/>
      <c r="B25" s="1"/>
      <c r="C25" s="1"/>
      <c r="D25" s="1"/>
      <c r="E25" s="1"/>
      <c r="F25" s="4" t="s">
        <v>453</v>
      </c>
      <c r="G25" s="5" t="s">
        <v>454</v>
      </c>
      <c r="H25" s="4" t="s">
        <v>356</v>
      </c>
      <c r="I25" s="1"/>
      <c r="J25" s="1"/>
      <c r="K25" s="1"/>
      <c r="L25" s="1"/>
      <c r="M25" s="1"/>
      <c r="N25" s="1"/>
      <c r="O25" s="1"/>
      <c r="P25" s="1"/>
    </row>
    <row r="26" spans="1:16" ht="13.15" customHeight="1" x14ac:dyDescent="0.25">
      <c r="A26" s="1"/>
      <c r="B26" s="1"/>
      <c r="C26" s="1"/>
      <c r="D26" s="1"/>
      <c r="E26" s="1"/>
      <c r="F26" s="4" t="s">
        <v>455</v>
      </c>
      <c r="G26" s="5" t="s">
        <v>456</v>
      </c>
      <c r="H26" s="4" t="s">
        <v>356</v>
      </c>
      <c r="I26" s="1"/>
      <c r="J26" s="1"/>
      <c r="K26" s="1"/>
      <c r="L26" s="1"/>
      <c r="M26" s="1"/>
      <c r="N26" s="1"/>
      <c r="O26" s="1"/>
      <c r="P26" s="1"/>
    </row>
    <row r="27" spans="1:16" ht="13.15" customHeight="1" x14ac:dyDescent="0.25">
      <c r="A27" s="1"/>
      <c r="B27" s="1"/>
      <c r="C27" s="1"/>
      <c r="D27" s="1"/>
      <c r="E27" s="1"/>
      <c r="F27" s="4" t="s">
        <v>457</v>
      </c>
      <c r="G27" s="5" t="s">
        <v>458</v>
      </c>
      <c r="H27" s="4" t="s">
        <v>356</v>
      </c>
      <c r="I27" s="1"/>
      <c r="J27" s="1"/>
      <c r="K27" s="1"/>
      <c r="L27" s="1"/>
      <c r="M27" s="1"/>
      <c r="N27" s="1"/>
      <c r="O27" s="1"/>
      <c r="P27" s="1"/>
    </row>
    <row r="28" spans="1:16" ht="13.15" customHeight="1" x14ac:dyDescent="0.25">
      <c r="A28" s="1"/>
      <c r="B28" s="1"/>
      <c r="C28" s="1"/>
      <c r="D28" s="1"/>
      <c r="E28" s="1"/>
      <c r="F28" s="4" t="s">
        <v>459</v>
      </c>
      <c r="G28" s="5" t="s">
        <v>458</v>
      </c>
      <c r="H28" s="4" t="s">
        <v>356</v>
      </c>
      <c r="I28" s="1"/>
      <c r="J28" s="1"/>
      <c r="K28" s="1"/>
      <c r="L28" s="1"/>
      <c r="M28" s="1"/>
      <c r="N28" s="1"/>
      <c r="O28" s="1"/>
      <c r="P28" s="1"/>
    </row>
    <row r="29" spans="1:16" ht="13.15" customHeight="1" x14ac:dyDescent="0.25">
      <c r="A29" s="1"/>
      <c r="B29" s="1"/>
      <c r="C29" s="1"/>
      <c r="D29" s="1"/>
      <c r="E29" s="1"/>
      <c r="F29" s="4" t="s">
        <v>460</v>
      </c>
      <c r="G29" s="4" t="s">
        <v>461</v>
      </c>
      <c r="H29" s="4" t="s">
        <v>356</v>
      </c>
      <c r="I29" s="1"/>
      <c r="J29" s="1"/>
      <c r="K29" s="1"/>
      <c r="L29" s="1"/>
      <c r="M29" s="1"/>
      <c r="N29" s="1"/>
      <c r="O29" s="1"/>
      <c r="P29" s="1"/>
    </row>
    <row r="30" spans="1:16" ht="13.15" customHeight="1" x14ac:dyDescent="0.25">
      <c r="A30" s="1"/>
      <c r="B30" s="1"/>
      <c r="C30" s="1"/>
      <c r="D30" s="1"/>
      <c r="E30" s="1"/>
      <c r="F30" s="4" t="s">
        <v>462</v>
      </c>
      <c r="G30" s="5" t="s">
        <v>463</v>
      </c>
      <c r="H30" s="4" t="s">
        <v>356</v>
      </c>
      <c r="I30" s="1"/>
      <c r="J30" s="1"/>
      <c r="K30" s="1"/>
      <c r="L30" s="1"/>
      <c r="M30" s="1"/>
      <c r="N30" s="1"/>
      <c r="O30" s="1"/>
      <c r="P30" s="1"/>
    </row>
    <row r="31" spans="1:16" ht="13.15" customHeight="1" x14ac:dyDescent="0.25">
      <c r="A31" s="1"/>
      <c r="B31" s="1"/>
      <c r="C31" s="1"/>
      <c r="D31" s="1"/>
      <c r="E31" s="1"/>
      <c r="F31" s="4" t="s">
        <v>464</v>
      </c>
      <c r="G31" s="4" t="s">
        <v>465</v>
      </c>
      <c r="H31" s="4" t="s">
        <v>356</v>
      </c>
      <c r="I31" s="1"/>
      <c r="J31" s="1"/>
      <c r="K31" s="1"/>
      <c r="L31" s="1"/>
      <c r="M31" s="1"/>
      <c r="N31" s="1"/>
      <c r="O31" s="1"/>
      <c r="P31" s="1"/>
    </row>
    <row r="32" spans="1:16" ht="13.15" customHeight="1" x14ac:dyDescent="0.25">
      <c r="A32" s="1"/>
      <c r="B32" s="1"/>
      <c r="C32" s="1"/>
      <c r="D32" s="1"/>
      <c r="E32" s="1"/>
      <c r="F32" s="4" t="s">
        <v>466</v>
      </c>
      <c r="G32" s="5" t="s">
        <v>467</v>
      </c>
      <c r="H32" s="4" t="s">
        <v>356</v>
      </c>
      <c r="I32" s="1"/>
      <c r="J32" s="1"/>
      <c r="K32" s="1"/>
      <c r="L32" s="1"/>
      <c r="M32" s="1"/>
      <c r="N32" s="1"/>
      <c r="O32" s="1"/>
      <c r="P32" s="1"/>
    </row>
    <row r="33" spans="1:16" ht="13.15" customHeight="1" x14ac:dyDescent="0.25">
      <c r="A33" s="1"/>
      <c r="B33" s="1"/>
      <c r="C33" s="1"/>
      <c r="D33" s="1"/>
      <c r="E33" s="1"/>
      <c r="F33" s="4" t="s">
        <v>468</v>
      </c>
      <c r="G33" s="5" t="s">
        <v>469</v>
      </c>
      <c r="H33" s="4" t="s">
        <v>356</v>
      </c>
      <c r="I33" s="1"/>
      <c r="J33" s="1"/>
      <c r="K33" s="1"/>
      <c r="L33" s="1"/>
      <c r="M33" s="1"/>
      <c r="N33" s="1"/>
      <c r="O33" s="1"/>
      <c r="P33" s="1"/>
    </row>
    <row r="34" spans="1:16" ht="13.15" customHeight="1" x14ac:dyDescent="0.25">
      <c r="A34" s="1"/>
      <c r="B34" s="1"/>
      <c r="C34" s="1"/>
      <c r="D34" s="1"/>
      <c r="E34" s="1"/>
      <c r="F34" s="4" t="s">
        <v>470</v>
      </c>
      <c r="G34" s="5" t="s">
        <v>471</v>
      </c>
      <c r="H34" s="4" t="s">
        <v>356</v>
      </c>
      <c r="I34" s="1"/>
      <c r="J34" s="1"/>
      <c r="K34" s="1"/>
      <c r="L34" s="1"/>
      <c r="M34" s="1"/>
      <c r="N34" s="1"/>
      <c r="O34" s="1"/>
      <c r="P34" s="1"/>
    </row>
    <row r="35" spans="1:16" ht="13.15" customHeight="1" x14ac:dyDescent="0.25">
      <c r="A35" s="1"/>
      <c r="B35" s="1"/>
      <c r="C35" s="1"/>
      <c r="D35" s="1"/>
      <c r="E35" s="1"/>
      <c r="F35" s="4" t="s">
        <v>472</v>
      </c>
      <c r="G35" s="5" t="s">
        <v>473</v>
      </c>
      <c r="H35" s="4" t="s">
        <v>356</v>
      </c>
      <c r="I35" s="1"/>
      <c r="J35" s="1"/>
      <c r="K35" s="1"/>
      <c r="L35" s="1"/>
      <c r="M35" s="1"/>
      <c r="N35" s="1"/>
      <c r="O35" s="1"/>
      <c r="P35" s="1"/>
    </row>
    <row r="36" spans="1:16" ht="13.15" customHeight="1" x14ac:dyDescent="0.25">
      <c r="A36" s="1"/>
      <c r="B36" s="1"/>
      <c r="C36" s="1"/>
      <c r="D36" s="1"/>
      <c r="E36" s="1"/>
      <c r="F36" s="4" t="s">
        <v>474</v>
      </c>
      <c r="G36" s="5" t="s">
        <v>475</v>
      </c>
      <c r="H36" s="4" t="s">
        <v>356</v>
      </c>
      <c r="I36" s="1"/>
      <c r="J36" s="1"/>
      <c r="K36" s="1"/>
      <c r="L36" s="1"/>
      <c r="M36" s="1"/>
      <c r="N36" s="1"/>
      <c r="O36" s="1"/>
      <c r="P36" s="1"/>
    </row>
    <row r="37" spans="1:16" ht="13.15" customHeight="1" x14ac:dyDescent="0.25">
      <c r="A37" s="1"/>
      <c r="B37" s="1"/>
      <c r="C37" s="1"/>
      <c r="D37" s="1"/>
      <c r="E37" s="1"/>
      <c r="F37" s="4" t="s">
        <v>476</v>
      </c>
      <c r="G37" s="4" t="s">
        <v>477</v>
      </c>
      <c r="H37" s="4" t="s">
        <v>356</v>
      </c>
      <c r="I37" s="1"/>
      <c r="J37" s="1"/>
      <c r="K37" s="1"/>
      <c r="L37" s="1"/>
      <c r="M37" s="1"/>
      <c r="N37" s="1"/>
      <c r="O37" s="1"/>
      <c r="P37" s="1"/>
    </row>
    <row r="38" spans="1:16" ht="13.15" customHeight="1" x14ac:dyDescent="0.25">
      <c r="A38" s="1"/>
      <c r="B38" s="1"/>
      <c r="C38" s="1"/>
      <c r="D38" s="1"/>
      <c r="E38" s="1"/>
      <c r="F38" s="4" t="s">
        <v>478</v>
      </c>
      <c r="G38" s="5" t="s">
        <v>479</v>
      </c>
      <c r="H38" s="4" t="s">
        <v>356</v>
      </c>
      <c r="I38" s="1"/>
      <c r="J38" s="1"/>
      <c r="K38" s="1"/>
      <c r="L38" s="1"/>
      <c r="M38" s="1"/>
      <c r="N38" s="1"/>
      <c r="O38" s="1"/>
      <c r="P38" s="1"/>
    </row>
    <row r="39" spans="1:16" ht="13.15" customHeight="1" x14ac:dyDescent="0.25">
      <c r="A39" s="1"/>
      <c r="B39" s="1"/>
      <c r="C39" s="1"/>
      <c r="D39" s="1"/>
      <c r="E39" s="1"/>
      <c r="F39" s="4" t="s">
        <v>480</v>
      </c>
      <c r="G39" s="5" t="s">
        <v>479</v>
      </c>
      <c r="H39" s="4" t="s">
        <v>356</v>
      </c>
      <c r="I39" s="1"/>
      <c r="J39" s="1"/>
      <c r="K39" s="1"/>
      <c r="L39" s="1"/>
      <c r="M39" s="1"/>
      <c r="N39" s="1"/>
      <c r="O39" s="1"/>
      <c r="P39" s="1"/>
    </row>
    <row r="40" spans="1:16" ht="13.15" customHeight="1" x14ac:dyDescent="0.25">
      <c r="A40" s="1"/>
      <c r="B40" s="1"/>
      <c r="C40" s="1"/>
      <c r="D40" s="1"/>
      <c r="E40" s="1"/>
      <c r="F40" s="4" t="s">
        <v>481</v>
      </c>
      <c r="G40" s="5" t="s">
        <v>482</v>
      </c>
      <c r="H40" s="4" t="s">
        <v>356</v>
      </c>
      <c r="I40" s="1"/>
      <c r="J40" s="1"/>
      <c r="K40" s="1"/>
      <c r="L40" s="1"/>
      <c r="M40" s="1"/>
      <c r="N40" s="1"/>
      <c r="O40" s="1"/>
      <c r="P40" s="1"/>
    </row>
    <row r="41" spans="1:16" ht="13.15" customHeight="1" x14ac:dyDescent="0.25">
      <c r="A41" s="1"/>
      <c r="B41" s="1"/>
      <c r="C41" s="1"/>
      <c r="D41" s="1"/>
      <c r="E41" s="1"/>
      <c r="F41" s="4" t="s">
        <v>483</v>
      </c>
      <c r="G41" s="5" t="s">
        <v>484</v>
      </c>
      <c r="H41" s="4" t="s">
        <v>356</v>
      </c>
      <c r="I41" s="1"/>
      <c r="J41" s="1"/>
      <c r="K41" s="1"/>
      <c r="L41" s="1"/>
      <c r="M41" s="1"/>
      <c r="N41" s="1"/>
      <c r="O41" s="1"/>
      <c r="P41" s="1"/>
    </row>
    <row r="42" spans="1:16" ht="13.15" customHeight="1" x14ac:dyDescent="0.25">
      <c r="A42" s="1"/>
      <c r="B42" s="1"/>
      <c r="C42" s="1"/>
      <c r="D42" s="1"/>
      <c r="E42" s="1"/>
      <c r="F42" s="4" t="s">
        <v>485</v>
      </c>
      <c r="G42" s="5" t="s">
        <v>486</v>
      </c>
      <c r="H42" s="4" t="s">
        <v>356</v>
      </c>
      <c r="I42" s="1"/>
      <c r="J42" s="1"/>
      <c r="K42" s="1"/>
      <c r="L42" s="1"/>
      <c r="M42" s="1"/>
      <c r="N42" s="1"/>
      <c r="O42" s="1"/>
      <c r="P42" s="1"/>
    </row>
    <row r="43" spans="1:16" ht="13.15" customHeight="1" x14ac:dyDescent="0.25">
      <c r="A43" s="1"/>
      <c r="B43" s="1"/>
      <c r="C43" s="1"/>
      <c r="D43" s="1"/>
      <c r="E43" s="1"/>
      <c r="F43" s="4" t="s">
        <v>487</v>
      </c>
      <c r="G43" s="5" t="s">
        <v>488</v>
      </c>
      <c r="H43" s="4" t="s">
        <v>356</v>
      </c>
      <c r="I43" s="1"/>
      <c r="J43" s="1"/>
      <c r="K43" s="1"/>
      <c r="L43" s="1"/>
      <c r="M43" s="1"/>
      <c r="N43" s="1"/>
      <c r="O43" s="1"/>
      <c r="P43" s="1"/>
    </row>
    <row r="44" spans="1:16" ht="13.15" customHeight="1" x14ac:dyDescent="0.25">
      <c r="A44" s="1"/>
      <c r="B44" s="1"/>
      <c r="C44" s="1"/>
      <c r="D44" s="1"/>
      <c r="E44" s="1"/>
      <c r="F44" s="4" t="s">
        <v>489</v>
      </c>
      <c r="G44" s="5" t="s">
        <v>490</v>
      </c>
      <c r="H44" s="4" t="s">
        <v>356</v>
      </c>
      <c r="I44" s="1"/>
      <c r="J44" s="1"/>
      <c r="K44" s="1"/>
      <c r="L44" s="1"/>
      <c r="M44" s="1"/>
      <c r="N44" s="1"/>
      <c r="O44" s="1"/>
      <c r="P44" s="1"/>
    </row>
    <row r="45" spans="1:16" ht="13.15" customHeight="1" x14ac:dyDescent="0.25">
      <c r="A45" s="1"/>
      <c r="B45" s="1"/>
      <c r="C45" s="1"/>
      <c r="D45" s="1"/>
      <c r="E45" s="1"/>
      <c r="F45" s="4" t="s">
        <v>491</v>
      </c>
      <c r="G45" s="5" t="s">
        <v>492</v>
      </c>
      <c r="H45" s="4" t="s">
        <v>356</v>
      </c>
      <c r="I45" s="1"/>
      <c r="J45" s="1"/>
      <c r="K45" s="1"/>
      <c r="L45" s="1"/>
      <c r="M45" s="1"/>
      <c r="N45" s="1"/>
      <c r="O45" s="1"/>
      <c r="P45" s="1"/>
    </row>
    <row r="46" spans="1:16" ht="13.15" customHeight="1" x14ac:dyDescent="0.25">
      <c r="A46" s="1"/>
      <c r="B46" s="1"/>
      <c r="C46" s="1"/>
      <c r="D46" s="1"/>
      <c r="E46" s="1"/>
      <c r="F46" s="4" t="s">
        <v>493</v>
      </c>
      <c r="G46" s="5" t="s">
        <v>494</v>
      </c>
      <c r="H46" s="4" t="s">
        <v>356</v>
      </c>
      <c r="I46" s="1"/>
      <c r="J46" s="1"/>
      <c r="K46" s="1"/>
      <c r="L46" s="1"/>
      <c r="M46" s="1"/>
      <c r="N46" s="1"/>
      <c r="O46" s="1"/>
      <c r="P46" s="1"/>
    </row>
    <row r="47" spans="1:16" ht="13.15" customHeight="1" x14ac:dyDescent="0.25">
      <c r="A47" s="1"/>
      <c r="B47" s="1"/>
      <c r="C47" s="1"/>
      <c r="D47" s="1"/>
      <c r="E47" s="1"/>
      <c r="F47" s="4" t="s">
        <v>495</v>
      </c>
      <c r="G47" s="5" t="s">
        <v>496</v>
      </c>
      <c r="H47" s="4" t="s">
        <v>356</v>
      </c>
      <c r="I47" s="1"/>
      <c r="J47" s="1"/>
      <c r="K47" s="1"/>
      <c r="L47" s="1"/>
      <c r="M47" s="1"/>
      <c r="N47" s="1"/>
      <c r="O47" s="1"/>
      <c r="P47" s="1"/>
    </row>
    <row r="48" spans="1:16" ht="13.15" customHeight="1" x14ac:dyDescent="0.25">
      <c r="A48" s="1"/>
      <c r="B48" s="1"/>
      <c r="C48" s="1"/>
      <c r="D48" s="1"/>
      <c r="E48" s="1"/>
      <c r="F48" s="4" t="s">
        <v>497</v>
      </c>
      <c r="G48" s="5" t="s">
        <v>496</v>
      </c>
      <c r="H48" s="4" t="s">
        <v>356</v>
      </c>
      <c r="I48" s="1"/>
      <c r="J48" s="1"/>
      <c r="K48" s="1"/>
      <c r="L48" s="1"/>
      <c r="M48" s="1"/>
      <c r="N48" s="1"/>
      <c r="O48" s="1"/>
      <c r="P48" s="1"/>
    </row>
    <row r="49" spans="1:16" ht="13.15" customHeight="1" x14ac:dyDescent="0.25">
      <c r="A49" s="1"/>
      <c r="B49" s="1"/>
      <c r="C49" s="1"/>
      <c r="D49" s="1"/>
      <c r="E49" s="1"/>
      <c r="F49" s="4" t="s">
        <v>498</v>
      </c>
      <c r="G49" s="5" t="s">
        <v>496</v>
      </c>
      <c r="H49" s="4" t="s">
        <v>356</v>
      </c>
      <c r="I49" s="1"/>
      <c r="J49" s="1"/>
      <c r="K49" s="1"/>
      <c r="L49" s="1"/>
      <c r="M49" s="1"/>
      <c r="N49" s="1"/>
      <c r="O49" s="1"/>
      <c r="P49" s="1"/>
    </row>
    <row r="50" spans="1:16" ht="13.15" customHeight="1" x14ac:dyDescent="0.25">
      <c r="A50" s="1"/>
      <c r="B50" s="1"/>
      <c r="C50" s="1"/>
      <c r="D50" s="1"/>
      <c r="E50" s="1"/>
      <c r="F50" s="4" t="s">
        <v>499</v>
      </c>
      <c r="G50" s="5" t="s">
        <v>496</v>
      </c>
      <c r="H50" s="4" t="s">
        <v>356</v>
      </c>
      <c r="I50" s="1"/>
      <c r="J50" s="1"/>
      <c r="K50" s="1"/>
      <c r="L50" s="1"/>
      <c r="M50" s="1"/>
      <c r="N50" s="1"/>
      <c r="O50" s="1"/>
      <c r="P50" s="1"/>
    </row>
    <row r="51" spans="1:16" ht="13.15" customHeight="1" x14ac:dyDescent="0.25">
      <c r="A51" s="1"/>
      <c r="B51" s="1"/>
      <c r="C51" s="1"/>
      <c r="D51" s="1"/>
      <c r="E51" s="1"/>
      <c r="F51" s="4" t="s">
        <v>500</v>
      </c>
      <c r="G51" s="5" t="s">
        <v>496</v>
      </c>
      <c r="H51" s="4" t="s">
        <v>356</v>
      </c>
      <c r="I51" s="1"/>
      <c r="J51" s="1"/>
      <c r="K51" s="1"/>
      <c r="L51" s="1"/>
      <c r="M51" s="1"/>
      <c r="N51" s="1"/>
      <c r="O51" s="1"/>
      <c r="P51" s="1"/>
    </row>
    <row r="52" spans="1:16" ht="13.15" customHeight="1" x14ac:dyDescent="0.25">
      <c r="A52" s="1"/>
      <c r="B52" s="1"/>
      <c r="C52" s="1"/>
      <c r="D52" s="1"/>
      <c r="E52" s="1"/>
      <c r="F52" s="4" t="s">
        <v>495</v>
      </c>
      <c r="G52" s="5" t="s">
        <v>496</v>
      </c>
      <c r="H52" s="4" t="s">
        <v>356</v>
      </c>
      <c r="I52" s="1"/>
      <c r="J52" s="1"/>
      <c r="K52" s="1"/>
      <c r="L52" s="1"/>
      <c r="M52" s="1"/>
      <c r="N52" s="1"/>
      <c r="O52" s="1"/>
      <c r="P52" s="1"/>
    </row>
    <row r="53" spans="1:16" ht="13.15" customHeight="1" x14ac:dyDescent="0.25">
      <c r="A53" s="1"/>
      <c r="B53" s="1"/>
      <c r="C53" s="1"/>
      <c r="D53" s="1"/>
      <c r="E53" s="1"/>
      <c r="F53" s="4" t="s">
        <v>501</v>
      </c>
      <c r="G53" s="5" t="s">
        <v>502</v>
      </c>
      <c r="H53" s="4" t="s">
        <v>356</v>
      </c>
      <c r="I53" s="1"/>
      <c r="J53" s="1"/>
      <c r="K53" s="1"/>
      <c r="L53" s="1"/>
      <c r="M53" s="1"/>
      <c r="N53" s="1"/>
      <c r="O53" s="1"/>
      <c r="P53" s="1"/>
    </row>
    <row r="54" spans="1:16" ht="13.15" customHeight="1" x14ac:dyDescent="0.25">
      <c r="A54" s="1"/>
      <c r="B54" s="1"/>
      <c r="C54" s="1"/>
      <c r="D54" s="1"/>
      <c r="E54" s="1"/>
      <c r="F54" s="4" t="s">
        <v>503</v>
      </c>
      <c r="G54" s="5" t="s">
        <v>504</v>
      </c>
      <c r="H54" s="4" t="s">
        <v>356</v>
      </c>
      <c r="I54" s="1"/>
      <c r="J54" s="1"/>
      <c r="K54" s="1"/>
      <c r="L54" s="1"/>
      <c r="M54" s="1"/>
      <c r="N54" s="1"/>
      <c r="O54" s="1"/>
      <c r="P54" s="1"/>
    </row>
    <row r="55" spans="1:16" ht="13.15" customHeight="1" x14ac:dyDescent="0.25">
      <c r="A55" s="1"/>
      <c r="B55" s="1"/>
      <c r="C55" s="1"/>
      <c r="D55" s="1"/>
      <c r="E55" s="1"/>
      <c r="F55" s="4" t="s">
        <v>505</v>
      </c>
      <c r="G55" s="5" t="s">
        <v>506</v>
      </c>
      <c r="H55" s="4" t="s">
        <v>356</v>
      </c>
      <c r="I55" s="1"/>
      <c r="J55" s="1"/>
      <c r="K55" s="1"/>
      <c r="L55" s="1"/>
      <c r="M55" s="1"/>
      <c r="N55" s="1"/>
      <c r="O55" s="1"/>
      <c r="P55" s="1"/>
    </row>
    <row r="56" spans="1:16" ht="13.15" customHeight="1" x14ac:dyDescent="0.25">
      <c r="A56" s="1"/>
      <c r="B56" s="1"/>
      <c r="C56" s="1"/>
      <c r="D56" s="1"/>
      <c r="E56" s="1"/>
      <c r="F56" s="4" t="s">
        <v>507</v>
      </c>
      <c r="G56" s="5" t="s">
        <v>506</v>
      </c>
      <c r="H56" s="4" t="s">
        <v>356</v>
      </c>
      <c r="I56" s="1"/>
      <c r="J56" s="1"/>
      <c r="K56" s="1"/>
      <c r="L56" s="1"/>
      <c r="M56" s="1"/>
      <c r="N56" s="1"/>
      <c r="O56" s="1"/>
      <c r="P56" s="1"/>
    </row>
    <row r="57" spans="1:16" ht="13.15" customHeight="1" x14ac:dyDescent="0.25">
      <c r="A57" s="1"/>
      <c r="B57" s="1"/>
      <c r="C57" s="1"/>
      <c r="D57" s="1"/>
      <c r="E57" s="1"/>
      <c r="F57" s="4" t="s">
        <v>508</v>
      </c>
      <c r="G57" s="5" t="s">
        <v>509</v>
      </c>
      <c r="H57" s="4" t="s">
        <v>356</v>
      </c>
      <c r="I57" s="1"/>
      <c r="J57" s="1"/>
      <c r="K57" s="1"/>
      <c r="L57" s="1"/>
      <c r="M57" s="1"/>
      <c r="N57" s="1"/>
      <c r="O57" s="1"/>
      <c r="P57" s="1"/>
    </row>
    <row r="58" spans="1:16" ht="13.15" customHeight="1" x14ac:dyDescent="0.25">
      <c r="A58" s="1"/>
      <c r="B58" s="1"/>
      <c r="C58" s="1"/>
      <c r="D58" s="1"/>
      <c r="E58" s="1"/>
      <c r="F58" s="4" t="s">
        <v>510</v>
      </c>
      <c r="G58" s="5" t="s">
        <v>511</v>
      </c>
      <c r="H58" s="4" t="s">
        <v>356</v>
      </c>
      <c r="I58" s="1"/>
      <c r="J58" s="1"/>
      <c r="K58" s="1"/>
      <c r="L58" s="1"/>
      <c r="M58" s="1"/>
      <c r="N58" s="1"/>
      <c r="O58" s="1"/>
      <c r="P58" s="1"/>
    </row>
    <row r="59" spans="1:16" ht="13.15" customHeight="1" x14ac:dyDescent="0.25">
      <c r="A59" s="1"/>
      <c r="B59" s="1"/>
      <c r="C59" s="1"/>
      <c r="D59" s="1"/>
      <c r="E59" s="1"/>
      <c r="F59" s="4" t="s">
        <v>512</v>
      </c>
      <c r="G59" s="4" t="s">
        <v>513</v>
      </c>
      <c r="H59" s="4" t="s">
        <v>356</v>
      </c>
      <c r="I59" s="1"/>
      <c r="J59" s="1"/>
      <c r="K59" s="1"/>
      <c r="L59" s="1"/>
      <c r="M59" s="1"/>
      <c r="N59" s="1"/>
      <c r="O59" s="1"/>
      <c r="P59" s="1"/>
    </row>
    <row r="60" spans="1:16" ht="13.15" customHeight="1" x14ac:dyDescent="0.25">
      <c r="A60" s="1"/>
      <c r="B60" s="1"/>
      <c r="C60" s="1"/>
      <c r="D60" s="1"/>
      <c r="E60" s="1"/>
      <c r="F60" s="4" t="s">
        <v>514</v>
      </c>
      <c r="G60" s="5" t="s">
        <v>515</v>
      </c>
      <c r="H60" s="4" t="s">
        <v>356</v>
      </c>
      <c r="I60" s="1"/>
      <c r="J60" s="1"/>
      <c r="K60" s="1"/>
      <c r="L60" s="1"/>
      <c r="M60" s="1"/>
      <c r="N60" s="1"/>
      <c r="O60" s="1"/>
      <c r="P60" s="1"/>
    </row>
    <row r="61" spans="1:16" ht="13.15" customHeight="1" x14ac:dyDescent="0.25">
      <c r="A61" s="1"/>
      <c r="B61" s="1"/>
      <c r="C61" s="1"/>
      <c r="D61" s="1"/>
      <c r="E61" s="1"/>
      <c r="F61" s="4" t="s">
        <v>516</v>
      </c>
      <c r="G61" s="5" t="s">
        <v>517</v>
      </c>
      <c r="H61" s="4" t="s">
        <v>356</v>
      </c>
      <c r="I61" s="1"/>
      <c r="J61" s="1"/>
      <c r="K61" s="1"/>
      <c r="L61" s="1"/>
      <c r="M61" s="1"/>
      <c r="N61" s="1"/>
      <c r="O61" s="1"/>
      <c r="P61" s="1"/>
    </row>
    <row r="62" spans="1:16" ht="13.15" customHeight="1" x14ac:dyDescent="0.25">
      <c r="A62" s="1"/>
      <c r="B62" s="1"/>
      <c r="C62" s="1"/>
      <c r="D62" s="1"/>
      <c r="E62" s="1"/>
      <c r="F62" s="16" t="s">
        <v>518</v>
      </c>
      <c r="G62" s="17" t="s">
        <v>519</v>
      </c>
      <c r="H62" s="16" t="s">
        <v>520</v>
      </c>
      <c r="I62" s="1"/>
      <c r="J62" s="1"/>
      <c r="K62" s="1"/>
      <c r="L62" s="1"/>
      <c r="M62" s="1"/>
      <c r="N62" s="1"/>
      <c r="O62" s="1"/>
      <c r="P62" s="1"/>
    </row>
    <row r="63" spans="1:16" ht="13.15" customHeight="1" x14ac:dyDescent="0.25">
      <c r="A63" s="1"/>
      <c r="B63" s="1"/>
      <c r="C63" s="1"/>
      <c r="D63" s="1"/>
      <c r="E63" s="1"/>
      <c r="F63" s="16" t="s">
        <v>521</v>
      </c>
      <c r="G63" s="17" t="s">
        <v>519</v>
      </c>
      <c r="H63" s="16" t="s">
        <v>520</v>
      </c>
      <c r="I63" s="1"/>
      <c r="J63" s="1"/>
      <c r="K63" s="1"/>
      <c r="L63" s="1"/>
      <c r="M63" s="1"/>
      <c r="N63" s="1"/>
      <c r="O63" s="1"/>
      <c r="P63" s="1"/>
    </row>
    <row r="64" spans="1:16" ht="13.15" customHeight="1" x14ac:dyDescent="0.25">
      <c r="A64" s="1"/>
      <c r="B64" s="1"/>
      <c r="C64" s="1"/>
      <c r="D64" s="1"/>
      <c r="E64" s="1"/>
      <c r="F64" s="16" t="s">
        <v>522</v>
      </c>
      <c r="G64" s="17" t="s">
        <v>519</v>
      </c>
      <c r="H64" s="16" t="s">
        <v>520</v>
      </c>
      <c r="I64" s="1"/>
      <c r="J64" s="1"/>
      <c r="K64" s="1"/>
      <c r="L64" s="1"/>
      <c r="M64" s="1"/>
      <c r="N64" s="1"/>
      <c r="O64" s="1"/>
      <c r="P64" s="1"/>
    </row>
    <row r="65" spans="1:16" ht="13.15" customHeight="1" x14ac:dyDescent="0.25">
      <c r="A65" s="1"/>
      <c r="B65" s="1"/>
      <c r="C65" s="1"/>
      <c r="D65" s="1"/>
      <c r="E65" s="1"/>
      <c r="F65" s="16" t="s">
        <v>523</v>
      </c>
      <c r="G65" s="17" t="s">
        <v>519</v>
      </c>
      <c r="H65" s="16" t="s">
        <v>520</v>
      </c>
      <c r="I65" s="1"/>
      <c r="J65" s="1"/>
      <c r="K65" s="1"/>
      <c r="L65" s="1"/>
      <c r="M65" s="1"/>
      <c r="N65" s="1"/>
      <c r="O65" s="1"/>
      <c r="P65" s="1"/>
    </row>
    <row r="66" spans="1:16" ht="13.15" customHeight="1" x14ac:dyDescent="0.25">
      <c r="A66" s="1"/>
      <c r="B66" s="1"/>
      <c r="C66" s="1"/>
      <c r="D66" s="1"/>
      <c r="E66" s="1"/>
      <c r="F66" s="16" t="s">
        <v>524</v>
      </c>
      <c r="G66" s="17" t="s">
        <v>519</v>
      </c>
      <c r="H66" s="16" t="s">
        <v>520</v>
      </c>
      <c r="I66" s="1"/>
      <c r="J66" s="1"/>
      <c r="K66" s="1"/>
      <c r="L66" s="1"/>
      <c r="M66" s="1"/>
      <c r="N66" s="1"/>
      <c r="O66" s="1"/>
      <c r="P66" s="1"/>
    </row>
    <row r="67" spans="1:16" ht="13.15" customHeight="1" x14ac:dyDescent="0.25">
      <c r="A67" s="1"/>
      <c r="B67" s="1"/>
      <c r="C67" s="1"/>
      <c r="D67" s="1"/>
      <c r="E67" s="1"/>
      <c r="F67" s="16" t="s">
        <v>525</v>
      </c>
      <c r="G67" s="17" t="s">
        <v>526</v>
      </c>
      <c r="H67" s="16" t="s">
        <v>520</v>
      </c>
      <c r="I67" s="1"/>
      <c r="J67" s="1"/>
      <c r="K67" s="1"/>
      <c r="L67" s="1"/>
      <c r="M67" s="1"/>
      <c r="N67" s="1"/>
      <c r="O67" s="1"/>
      <c r="P67" s="1"/>
    </row>
    <row r="68" spans="1:16" ht="13.15" customHeight="1" x14ac:dyDescent="0.25">
      <c r="A68" s="1"/>
      <c r="B68" s="1"/>
      <c r="C68" s="1"/>
      <c r="D68" s="1"/>
      <c r="E68" s="1"/>
      <c r="F68" s="16" t="s">
        <v>527</v>
      </c>
      <c r="G68" s="17" t="s">
        <v>528</v>
      </c>
      <c r="H68" s="16" t="s">
        <v>520</v>
      </c>
      <c r="I68" s="1"/>
      <c r="J68" s="1"/>
      <c r="K68" s="1"/>
      <c r="L68" s="1"/>
      <c r="M68" s="1"/>
      <c r="N68" s="1"/>
      <c r="O68" s="1"/>
      <c r="P68" s="1"/>
    </row>
    <row r="69" spans="1:16" ht="13.15" customHeight="1" x14ac:dyDescent="0.25">
      <c r="A69" s="1"/>
      <c r="B69" s="1"/>
      <c r="C69" s="1"/>
      <c r="D69" s="1"/>
      <c r="E69" s="1"/>
      <c r="F69" s="16" t="s">
        <v>529</v>
      </c>
      <c r="G69" s="16" t="s">
        <v>530</v>
      </c>
      <c r="H69" s="16" t="s">
        <v>520</v>
      </c>
      <c r="I69" s="1"/>
      <c r="J69" s="1"/>
      <c r="K69" s="1"/>
      <c r="L69" s="1"/>
      <c r="M69" s="1"/>
      <c r="N69" s="1"/>
      <c r="O69" s="1"/>
      <c r="P69" s="1"/>
    </row>
    <row r="70" spans="1:16" ht="13.15" customHeight="1" x14ac:dyDescent="0.25">
      <c r="A70" s="1"/>
      <c r="B70" s="1"/>
      <c r="C70" s="1"/>
      <c r="D70" s="1"/>
      <c r="E70" s="1"/>
      <c r="F70" s="16" t="s">
        <v>531</v>
      </c>
      <c r="G70" s="16" t="s">
        <v>530</v>
      </c>
      <c r="H70" s="16" t="s">
        <v>520</v>
      </c>
      <c r="I70" s="1"/>
      <c r="J70" s="1"/>
      <c r="K70" s="1"/>
      <c r="L70" s="1"/>
      <c r="M70" s="1"/>
      <c r="N70" s="1"/>
      <c r="O70" s="1"/>
      <c r="P70" s="1"/>
    </row>
    <row r="71" spans="1:16" ht="13.15" customHeight="1" x14ac:dyDescent="0.25">
      <c r="A71" s="1"/>
      <c r="B71" s="1"/>
      <c r="C71" s="1"/>
      <c r="D71" s="1"/>
      <c r="E71" s="1"/>
      <c r="F71" s="16" t="s">
        <v>532</v>
      </c>
      <c r="G71" s="16" t="s">
        <v>530</v>
      </c>
      <c r="H71" s="16" t="s">
        <v>520</v>
      </c>
      <c r="I71" s="1"/>
      <c r="J71" s="1"/>
      <c r="K71" s="1"/>
      <c r="L71" s="1"/>
      <c r="M71" s="1"/>
      <c r="N71" s="1"/>
      <c r="O71" s="1"/>
      <c r="P71" s="1"/>
    </row>
    <row r="72" spans="1:16" ht="13.15" customHeight="1" x14ac:dyDescent="0.25">
      <c r="A72" s="1"/>
      <c r="B72" s="1"/>
      <c r="C72" s="1"/>
      <c r="D72" s="1"/>
      <c r="E72" s="1"/>
      <c r="F72" s="16" t="s">
        <v>533</v>
      </c>
      <c r="G72" s="17" t="s">
        <v>530</v>
      </c>
      <c r="H72" s="16" t="s">
        <v>520</v>
      </c>
      <c r="I72" s="1"/>
      <c r="J72" s="1"/>
      <c r="K72" s="1"/>
      <c r="L72" s="1"/>
      <c r="M72" s="1"/>
      <c r="N72" s="1"/>
      <c r="O72" s="1"/>
      <c r="P72" s="1"/>
    </row>
    <row r="73" spans="1:16" ht="13.15" customHeight="1" x14ac:dyDescent="0.25">
      <c r="A73" s="1"/>
      <c r="B73" s="1"/>
      <c r="C73" s="1"/>
      <c r="D73" s="1"/>
      <c r="E73" s="1"/>
      <c r="F73" s="16" t="s">
        <v>534</v>
      </c>
      <c r="G73" s="17" t="s">
        <v>530</v>
      </c>
      <c r="H73" s="16" t="s">
        <v>520</v>
      </c>
      <c r="I73" s="1"/>
      <c r="J73" s="1"/>
      <c r="K73" s="1"/>
      <c r="L73" s="1"/>
      <c r="M73" s="1"/>
      <c r="N73" s="1"/>
      <c r="O73" s="1"/>
      <c r="P73" s="1"/>
    </row>
    <row r="74" spans="1:16" ht="13.15" customHeight="1" x14ac:dyDescent="0.25">
      <c r="A74" s="1"/>
      <c r="B74" s="1"/>
      <c r="C74" s="1"/>
      <c r="D74" s="1"/>
      <c r="E74" s="1"/>
      <c r="F74" s="16" t="s">
        <v>535</v>
      </c>
      <c r="G74" s="17" t="s">
        <v>536</v>
      </c>
      <c r="H74" s="16" t="s">
        <v>520</v>
      </c>
      <c r="I74" s="1"/>
      <c r="J74" s="1"/>
      <c r="K74" s="1"/>
      <c r="L74" s="1"/>
      <c r="M74" s="1"/>
      <c r="N74" s="1"/>
      <c r="O74" s="1"/>
      <c r="P74" s="1"/>
    </row>
    <row r="75" spans="1:16" ht="13.15" customHeight="1" x14ac:dyDescent="0.25">
      <c r="A75" s="1"/>
      <c r="B75" s="1"/>
      <c r="C75" s="1"/>
      <c r="D75" s="1"/>
      <c r="E75" s="1"/>
      <c r="F75" s="16" t="s">
        <v>537</v>
      </c>
      <c r="G75" s="17" t="s">
        <v>536</v>
      </c>
      <c r="H75" s="16" t="s">
        <v>520</v>
      </c>
      <c r="I75" s="1"/>
      <c r="J75" s="1"/>
      <c r="K75" s="1"/>
      <c r="L75" s="1"/>
      <c r="M75" s="1"/>
      <c r="N75" s="1"/>
      <c r="O75" s="1"/>
      <c r="P75" s="1"/>
    </row>
    <row r="76" spans="1:16" ht="13.15" customHeight="1" x14ac:dyDescent="0.25">
      <c r="A76" s="1"/>
      <c r="B76" s="1"/>
      <c r="C76" s="1"/>
      <c r="D76" s="1"/>
      <c r="E76" s="1"/>
      <c r="F76" s="16" t="s">
        <v>538</v>
      </c>
      <c r="G76" s="17" t="s">
        <v>539</v>
      </c>
      <c r="H76" s="16" t="s">
        <v>520</v>
      </c>
      <c r="I76" s="1"/>
      <c r="J76" s="1"/>
      <c r="K76" s="1"/>
      <c r="L76" s="1"/>
      <c r="M76" s="1"/>
      <c r="N76" s="1"/>
      <c r="O76" s="1"/>
      <c r="P76" s="1"/>
    </row>
    <row r="77" spans="1:16" ht="13.15" customHeight="1" x14ac:dyDescent="0.25">
      <c r="A77" s="1"/>
      <c r="B77" s="1"/>
      <c r="C77" s="1"/>
      <c r="D77" s="1"/>
      <c r="E77" s="1"/>
      <c r="F77" s="16" t="s">
        <v>540</v>
      </c>
      <c r="G77" s="17" t="s">
        <v>541</v>
      </c>
      <c r="H77" s="16" t="s">
        <v>520</v>
      </c>
      <c r="I77" s="1"/>
      <c r="J77" s="1"/>
      <c r="K77" s="1"/>
      <c r="L77" s="1"/>
      <c r="M77" s="1"/>
      <c r="N77" s="1"/>
      <c r="O77" s="1"/>
      <c r="P77" s="1"/>
    </row>
    <row r="78" spans="1:16" ht="13.15" customHeight="1" x14ac:dyDescent="0.25">
      <c r="A78" s="1"/>
      <c r="B78" s="1"/>
      <c r="C78" s="1"/>
      <c r="D78" s="1"/>
      <c r="E78" s="1"/>
      <c r="F78" s="16" t="s">
        <v>542</v>
      </c>
      <c r="G78" s="17" t="s">
        <v>542</v>
      </c>
      <c r="H78" s="16" t="s">
        <v>520</v>
      </c>
      <c r="I78" s="1"/>
      <c r="J78" s="1"/>
      <c r="K78" s="1"/>
      <c r="L78" s="1"/>
      <c r="M78" s="1"/>
      <c r="N78" s="1"/>
      <c r="O78" s="1"/>
      <c r="P78" s="1"/>
    </row>
    <row r="79" spans="1:16" ht="13.15" customHeight="1" x14ac:dyDescent="0.25">
      <c r="A79" s="1"/>
      <c r="B79" s="1"/>
      <c r="C79" s="1"/>
      <c r="D79" s="1"/>
      <c r="E79" s="1"/>
      <c r="F79" s="16" t="s">
        <v>543</v>
      </c>
      <c r="G79" s="17" t="s">
        <v>544</v>
      </c>
      <c r="H79" s="16" t="s">
        <v>520</v>
      </c>
      <c r="I79" s="1"/>
      <c r="J79" s="1"/>
      <c r="K79" s="1"/>
      <c r="L79" s="1"/>
      <c r="M79" s="1"/>
      <c r="N79" s="1"/>
      <c r="O79" s="1"/>
      <c r="P79" s="1"/>
    </row>
    <row r="80" spans="1:16" ht="13.15" customHeight="1" x14ac:dyDescent="0.25">
      <c r="A80" s="1"/>
      <c r="B80" s="1"/>
      <c r="C80" s="1"/>
      <c r="D80" s="1"/>
      <c r="E80" s="1"/>
      <c r="F80" s="16" t="s">
        <v>545</v>
      </c>
      <c r="G80" s="17" t="s">
        <v>544</v>
      </c>
      <c r="H80" s="16" t="s">
        <v>520</v>
      </c>
      <c r="I80" s="1"/>
      <c r="J80" s="1"/>
      <c r="K80" s="1"/>
      <c r="L80" s="1"/>
      <c r="M80" s="1"/>
      <c r="N80" s="1"/>
      <c r="O80" s="1"/>
      <c r="P80" s="1"/>
    </row>
    <row r="81" spans="1:16" ht="13.15" customHeight="1" x14ac:dyDescent="0.25">
      <c r="A81" s="1"/>
      <c r="B81" s="1"/>
      <c r="C81" s="1"/>
      <c r="D81" s="1"/>
      <c r="E81" s="1"/>
      <c r="F81" s="16" t="s">
        <v>546</v>
      </c>
      <c r="G81" s="16" t="s">
        <v>544</v>
      </c>
      <c r="H81" s="16" t="s">
        <v>520</v>
      </c>
      <c r="I81" s="1"/>
      <c r="J81" s="1"/>
      <c r="K81" s="1"/>
      <c r="L81" s="1"/>
      <c r="M81" s="1"/>
      <c r="N81" s="1"/>
      <c r="O81" s="1"/>
      <c r="P81" s="1"/>
    </row>
    <row r="82" spans="1:16" ht="13.15" customHeight="1" x14ac:dyDescent="0.25">
      <c r="A82" s="1"/>
      <c r="B82" s="1"/>
      <c r="C82" s="1"/>
      <c r="D82" s="1"/>
      <c r="E82" s="1"/>
      <c r="F82" s="16" t="s">
        <v>547</v>
      </c>
      <c r="G82" s="16" t="s">
        <v>548</v>
      </c>
      <c r="H82" s="16" t="s">
        <v>520</v>
      </c>
      <c r="I82" s="1"/>
      <c r="J82" s="1"/>
      <c r="K82" s="1"/>
      <c r="L82" s="1"/>
      <c r="M82" s="1"/>
      <c r="N82" s="1"/>
      <c r="O82" s="1"/>
      <c r="P82" s="1"/>
    </row>
    <row r="83" spans="1:16" ht="13.15" customHeight="1" x14ac:dyDescent="0.25">
      <c r="A83" s="1"/>
      <c r="B83" s="1"/>
      <c r="C83" s="1"/>
      <c r="D83" s="1"/>
      <c r="E83" s="1"/>
      <c r="F83" s="16" t="s">
        <v>549</v>
      </c>
      <c r="G83" s="17" t="s">
        <v>548</v>
      </c>
      <c r="H83" s="16" t="s">
        <v>520</v>
      </c>
      <c r="I83" s="1"/>
      <c r="J83" s="1"/>
      <c r="K83" s="1"/>
      <c r="L83" s="1"/>
      <c r="M83" s="1"/>
      <c r="N83" s="1"/>
      <c r="O83" s="1"/>
      <c r="P83" s="1"/>
    </row>
    <row r="84" spans="1:16" ht="13.15" customHeight="1" x14ac:dyDescent="0.25">
      <c r="A84" s="1"/>
      <c r="B84" s="1"/>
      <c r="C84" s="1"/>
      <c r="D84" s="1"/>
      <c r="E84" s="1"/>
      <c r="F84" s="16" t="s">
        <v>550</v>
      </c>
      <c r="G84" s="17" t="s">
        <v>548</v>
      </c>
      <c r="H84" s="16" t="s">
        <v>520</v>
      </c>
      <c r="I84" s="1"/>
      <c r="J84" s="1"/>
      <c r="K84" s="1"/>
      <c r="L84" s="1"/>
      <c r="M84" s="1"/>
      <c r="N84" s="1"/>
      <c r="O84" s="1"/>
      <c r="P84" s="1"/>
    </row>
    <row r="85" spans="1:16" ht="13.15" customHeight="1" x14ac:dyDescent="0.25">
      <c r="A85" s="1"/>
      <c r="B85" s="1"/>
      <c r="C85" s="1"/>
      <c r="D85" s="1"/>
      <c r="E85" s="1"/>
      <c r="F85" s="16" t="s">
        <v>551</v>
      </c>
      <c r="G85" s="17" t="s">
        <v>548</v>
      </c>
      <c r="H85" s="16" t="s">
        <v>520</v>
      </c>
      <c r="I85" s="1"/>
      <c r="J85" s="1"/>
      <c r="K85" s="1"/>
      <c r="L85" s="1"/>
      <c r="M85" s="1"/>
      <c r="N85" s="1"/>
      <c r="O85" s="1"/>
      <c r="P85" s="1"/>
    </row>
    <row r="86" spans="1:16" ht="13.15" customHeight="1" x14ac:dyDescent="0.25">
      <c r="A86" s="1"/>
      <c r="B86" s="1"/>
      <c r="C86" s="1"/>
      <c r="D86" s="1"/>
      <c r="E86" s="1"/>
      <c r="F86" s="16" t="s">
        <v>552</v>
      </c>
      <c r="G86" s="17" t="s">
        <v>548</v>
      </c>
      <c r="H86" s="16" t="s">
        <v>520</v>
      </c>
      <c r="I86" s="1"/>
      <c r="J86" s="1"/>
      <c r="K86" s="1"/>
      <c r="L86" s="1"/>
      <c r="M86" s="1"/>
      <c r="N86" s="1"/>
      <c r="O86" s="1"/>
      <c r="P86" s="1"/>
    </row>
    <row r="87" spans="1:16" ht="13.15" customHeight="1" x14ac:dyDescent="0.25">
      <c r="A87" s="1"/>
      <c r="B87" s="1"/>
      <c r="C87" s="1"/>
      <c r="D87" s="1"/>
      <c r="E87" s="1"/>
      <c r="F87" s="16" t="s">
        <v>553</v>
      </c>
      <c r="G87" s="17" t="s">
        <v>548</v>
      </c>
      <c r="H87" s="16" t="s">
        <v>520</v>
      </c>
      <c r="I87" s="1"/>
      <c r="J87" s="1"/>
      <c r="K87" s="1"/>
      <c r="L87" s="1"/>
      <c r="M87" s="1"/>
      <c r="N87" s="1"/>
      <c r="O87" s="1"/>
      <c r="P87" s="1"/>
    </row>
    <row r="88" spans="1:16" ht="13.15" customHeight="1" x14ac:dyDescent="0.25">
      <c r="A88" s="1"/>
      <c r="B88" s="1"/>
      <c r="C88" s="1"/>
      <c r="D88" s="1"/>
      <c r="E88" s="1"/>
      <c r="F88" s="16" t="s">
        <v>554</v>
      </c>
      <c r="G88" s="17" t="s">
        <v>555</v>
      </c>
      <c r="H88" s="16" t="s">
        <v>520</v>
      </c>
      <c r="I88" s="1"/>
      <c r="J88" s="1"/>
      <c r="K88" s="1"/>
      <c r="L88" s="1"/>
      <c r="M88" s="1"/>
      <c r="N88" s="1"/>
      <c r="O88" s="1"/>
      <c r="P88" s="1"/>
    </row>
    <row r="89" spans="1:16" ht="13.15" customHeight="1" x14ac:dyDescent="0.25">
      <c r="A89" s="1"/>
      <c r="B89" s="1"/>
      <c r="C89" s="1"/>
      <c r="D89" s="1"/>
      <c r="E89" s="1"/>
      <c r="F89" s="16" t="s">
        <v>556</v>
      </c>
      <c r="G89" s="17" t="s">
        <v>557</v>
      </c>
      <c r="H89" s="16" t="s">
        <v>520</v>
      </c>
      <c r="I89" s="1"/>
      <c r="J89" s="1"/>
      <c r="K89" s="1"/>
      <c r="L89" s="1"/>
      <c r="M89" s="1"/>
      <c r="N89" s="1"/>
      <c r="O89" s="1"/>
      <c r="P89" s="1"/>
    </row>
    <row r="90" spans="1:16" ht="13.15" customHeight="1" x14ac:dyDescent="0.25">
      <c r="A90" s="1"/>
      <c r="B90" s="1"/>
      <c r="C90" s="1"/>
      <c r="D90" s="1"/>
      <c r="E90" s="1"/>
      <c r="F90" s="16" t="s">
        <v>558</v>
      </c>
      <c r="G90" s="17" t="s">
        <v>559</v>
      </c>
      <c r="H90" s="16" t="s">
        <v>520</v>
      </c>
      <c r="I90" s="1"/>
      <c r="J90" s="1"/>
      <c r="K90" s="1"/>
      <c r="L90" s="1"/>
      <c r="M90" s="1"/>
      <c r="N90" s="1"/>
      <c r="O90" s="1"/>
      <c r="P90" s="1"/>
    </row>
    <row r="91" spans="1:16" ht="13.15" customHeight="1" x14ac:dyDescent="0.25">
      <c r="A91" s="1"/>
      <c r="B91" s="1"/>
      <c r="C91" s="1"/>
      <c r="D91" s="1"/>
      <c r="E91" s="1"/>
      <c r="F91" s="16" t="s">
        <v>560</v>
      </c>
      <c r="G91" s="17" t="s">
        <v>561</v>
      </c>
      <c r="H91" s="16" t="s">
        <v>520</v>
      </c>
      <c r="I91" s="1"/>
      <c r="J91" s="1"/>
      <c r="K91" s="1"/>
      <c r="L91" s="1"/>
      <c r="M91" s="1"/>
      <c r="N91" s="1"/>
      <c r="O91" s="1"/>
      <c r="P91" s="1"/>
    </row>
    <row r="92" spans="1:16" ht="13.15" customHeight="1" x14ac:dyDescent="0.25">
      <c r="A92" s="1"/>
      <c r="B92" s="1"/>
      <c r="C92" s="1"/>
      <c r="D92" s="1"/>
      <c r="E92" s="1"/>
      <c r="F92" s="16" t="s">
        <v>562</v>
      </c>
      <c r="G92" s="17" t="s">
        <v>563</v>
      </c>
      <c r="H92" s="16" t="s">
        <v>520</v>
      </c>
      <c r="I92" s="1"/>
      <c r="J92" s="1"/>
      <c r="K92" s="1"/>
      <c r="L92" s="1"/>
      <c r="M92" s="1"/>
      <c r="N92" s="1"/>
      <c r="O92" s="1"/>
      <c r="P92" s="1"/>
    </row>
    <row r="93" spans="1:16" ht="13.15" customHeight="1" x14ac:dyDescent="0.25">
      <c r="A93" s="1"/>
      <c r="B93" s="1"/>
      <c r="C93" s="1"/>
      <c r="D93" s="1"/>
      <c r="E93" s="1"/>
      <c r="F93" s="16" t="s">
        <v>564</v>
      </c>
      <c r="G93" s="17" t="s">
        <v>565</v>
      </c>
      <c r="H93" s="16" t="s">
        <v>520</v>
      </c>
      <c r="I93" s="1"/>
      <c r="J93" s="1"/>
      <c r="K93" s="1"/>
      <c r="L93" s="1"/>
      <c r="M93" s="1"/>
      <c r="N93" s="1"/>
      <c r="O93" s="1"/>
      <c r="P93" s="1"/>
    </row>
    <row r="94" spans="1:16" ht="13.15" customHeight="1" x14ac:dyDescent="0.25">
      <c r="A94" s="1"/>
      <c r="B94" s="1"/>
      <c r="C94" s="1"/>
      <c r="D94" s="1"/>
      <c r="E94" s="1"/>
      <c r="F94" s="16" t="s">
        <v>566</v>
      </c>
      <c r="G94" s="17" t="s">
        <v>567</v>
      </c>
      <c r="H94" s="16" t="s">
        <v>520</v>
      </c>
      <c r="I94" s="1"/>
      <c r="J94" s="1"/>
      <c r="K94" s="1"/>
      <c r="L94" s="1"/>
      <c r="M94" s="1"/>
      <c r="N94" s="1"/>
      <c r="O94" s="1"/>
      <c r="P94" s="1"/>
    </row>
    <row r="95" spans="1:16" ht="13.15" customHeight="1" x14ac:dyDescent="0.25">
      <c r="A95" s="1"/>
      <c r="B95" s="1"/>
      <c r="C95" s="1"/>
      <c r="D95" s="1"/>
      <c r="E95" s="1"/>
      <c r="F95" s="16" t="s">
        <v>568</v>
      </c>
      <c r="G95" s="16" t="s">
        <v>567</v>
      </c>
      <c r="H95" s="16" t="s">
        <v>520</v>
      </c>
      <c r="I95" s="1"/>
      <c r="J95" s="1"/>
      <c r="K95" s="1"/>
      <c r="L95" s="1"/>
      <c r="M95" s="1"/>
      <c r="N95" s="1"/>
      <c r="O95" s="1"/>
      <c r="P95" s="1"/>
    </row>
    <row r="96" spans="1:16" ht="13.15" customHeight="1" x14ac:dyDescent="0.25">
      <c r="A96" s="1"/>
      <c r="B96" s="1"/>
      <c r="C96" s="1"/>
      <c r="D96" s="1"/>
      <c r="E96" s="1"/>
      <c r="F96" s="16" t="s">
        <v>569</v>
      </c>
      <c r="G96" s="17" t="s">
        <v>570</v>
      </c>
      <c r="H96" s="16" t="s">
        <v>520</v>
      </c>
      <c r="I96" s="1"/>
      <c r="J96" s="1"/>
      <c r="K96" s="1"/>
      <c r="L96" s="1"/>
      <c r="M96" s="1"/>
      <c r="N96" s="1"/>
      <c r="O96" s="1"/>
      <c r="P96" s="1"/>
    </row>
    <row r="97" spans="1:16" ht="13.15" customHeight="1" x14ac:dyDescent="0.25">
      <c r="A97" s="1"/>
      <c r="B97" s="1"/>
      <c r="C97" s="1"/>
      <c r="D97" s="1"/>
      <c r="E97" s="1"/>
      <c r="F97" s="16" t="s">
        <v>571</v>
      </c>
      <c r="G97" s="17" t="s">
        <v>572</v>
      </c>
      <c r="H97" s="16" t="s">
        <v>520</v>
      </c>
      <c r="I97" s="1"/>
      <c r="J97" s="1"/>
      <c r="K97" s="1"/>
      <c r="L97" s="1"/>
      <c r="M97" s="1"/>
      <c r="N97" s="1"/>
      <c r="O97" s="1"/>
      <c r="P97" s="1"/>
    </row>
    <row r="98" spans="1:16" ht="13.15" customHeight="1" x14ac:dyDescent="0.25">
      <c r="A98" s="1"/>
      <c r="B98" s="1"/>
      <c r="C98" s="1"/>
      <c r="D98" s="1"/>
      <c r="E98" s="1"/>
      <c r="F98" s="16" t="s">
        <v>573</v>
      </c>
      <c r="G98" s="17" t="s">
        <v>574</v>
      </c>
      <c r="H98" s="16" t="s">
        <v>520</v>
      </c>
      <c r="I98" s="1"/>
      <c r="J98" s="1"/>
      <c r="K98" s="1"/>
      <c r="L98" s="1"/>
      <c r="M98" s="1"/>
      <c r="N98" s="1"/>
      <c r="O98" s="1"/>
      <c r="P98" s="1"/>
    </row>
    <row r="99" spans="1:16" ht="13.15" customHeight="1" x14ac:dyDescent="0.25">
      <c r="A99" s="1"/>
      <c r="B99" s="1"/>
      <c r="C99" s="1"/>
      <c r="D99" s="1"/>
      <c r="E99" s="1"/>
      <c r="F99" s="16" t="s">
        <v>575</v>
      </c>
      <c r="G99" s="17" t="s">
        <v>576</v>
      </c>
      <c r="H99" s="16" t="s">
        <v>520</v>
      </c>
      <c r="I99" s="1"/>
      <c r="J99" s="1"/>
      <c r="K99" s="1"/>
      <c r="L99" s="1"/>
      <c r="M99" s="1"/>
      <c r="N99" s="1"/>
      <c r="O99" s="1"/>
      <c r="P99" s="1"/>
    </row>
    <row r="100" spans="1:16" ht="13.15" customHeight="1" x14ac:dyDescent="0.25">
      <c r="A100" s="1"/>
      <c r="B100" s="1"/>
      <c r="C100" s="1"/>
      <c r="D100" s="1"/>
      <c r="E100" s="1"/>
      <c r="F100" s="16" t="s">
        <v>577</v>
      </c>
      <c r="G100" s="17" t="s">
        <v>578</v>
      </c>
      <c r="H100" s="16" t="s">
        <v>520</v>
      </c>
      <c r="I100" s="1"/>
      <c r="J100" s="1"/>
      <c r="K100" s="1"/>
      <c r="L100" s="1"/>
      <c r="M100" s="1"/>
      <c r="N100" s="1"/>
      <c r="O100" s="1"/>
      <c r="P100" s="1"/>
    </row>
    <row r="101" spans="1:16" ht="13.15" customHeight="1" x14ac:dyDescent="0.25">
      <c r="A101" s="1"/>
      <c r="B101" s="1"/>
      <c r="C101" s="1"/>
      <c r="D101" s="1"/>
      <c r="E101" s="1"/>
      <c r="F101" s="16" t="s">
        <v>579</v>
      </c>
      <c r="G101" s="17" t="s">
        <v>580</v>
      </c>
      <c r="H101" s="16" t="s">
        <v>520</v>
      </c>
      <c r="I101" s="1"/>
      <c r="J101" s="1"/>
      <c r="K101" s="1"/>
      <c r="L101" s="1"/>
      <c r="M101" s="1"/>
      <c r="N101" s="1"/>
      <c r="O101" s="1"/>
      <c r="P101" s="1"/>
    </row>
    <row r="102" spans="1:16" ht="13.15" customHeight="1" x14ac:dyDescent="0.25">
      <c r="A102" s="1"/>
      <c r="B102" s="1"/>
      <c r="C102" s="1"/>
      <c r="D102" s="1"/>
      <c r="E102" s="1"/>
      <c r="F102" s="16" t="s">
        <v>581</v>
      </c>
      <c r="G102" s="17" t="s">
        <v>582</v>
      </c>
      <c r="H102" s="16" t="s">
        <v>520</v>
      </c>
      <c r="I102" s="1"/>
      <c r="J102" s="1"/>
      <c r="K102" s="1"/>
      <c r="L102" s="1"/>
      <c r="M102" s="1"/>
      <c r="N102" s="1"/>
      <c r="O102" s="1"/>
      <c r="P102" s="1"/>
    </row>
    <row r="103" spans="1:16" ht="13.15" customHeight="1" x14ac:dyDescent="0.25">
      <c r="A103" s="1"/>
      <c r="B103" s="1"/>
      <c r="C103" s="1"/>
      <c r="D103" s="1"/>
      <c r="E103" s="1"/>
      <c r="F103" s="16" t="s">
        <v>583</v>
      </c>
      <c r="G103" s="17" t="s">
        <v>583</v>
      </c>
      <c r="H103" s="16" t="s">
        <v>520</v>
      </c>
      <c r="I103" s="1"/>
      <c r="J103" s="1"/>
      <c r="K103" s="1"/>
      <c r="L103" s="1"/>
      <c r="M103" s="1"/>
      <c r="N103" s="1"/>
      <c r="O103" s="1"/>
      <c r="P103" s="1"/>
    </row>
    <row r="104" spans="1:16" ht="13.15" customHeight="1" x14ac:dyDescent="0.25">
      <c r="A104" s="1"/>
      <c r="B104" s="1"/>
      <c r="C104" s="1"/>
      <c r="D104" s="1"/>
      <c r="E104" s="1"/>
      <c r="F104" s="16" t="s">
        <v>584</v>
      </c>
      <c r="G104" s="17" t="s">
        <v>585</v>
      </c>
      <c r="H104" s="16" t="s">
        <v>520</v>
      </c>
      <c r="I104" s="1"/>
      <c r="J104" s="1"/>
      <c r="K104" s="1"/>
      <c r="L104" s="1"/>
      <c r="M104" s="1"/>
      <c r="N104" s="1"/>
      <c r="O104" s="1"/>
      <c r="P104" s="1"/>
    </row>
    <row r="105" spans="1:16" ht="13.15" customHeight="1" x14ac:dyDescent="0.25">
      <c r="A105" s="1"/>
      <c r="B105" s="1"/>
      <c r="C105" s="1"/>
      <c r="D105" s="1"/>
      <c r="E105" s="1"/>
      <c r="F105" s="16" t="s">
        <v>586</v>
      </c>
      <c r="G105" s="17" t="s">
        <v>587</v>
      </c>
      <c r="H105" s="16" t="s">
        <v>520</v>
      </c>
      <c r="I105" s="1"/>
      <c r="J105" s="1"/>
      <c r="K105" s="1"/>
      <c r="L105" s="1"/>
      <c r="M105" s="1"/>
      <c r="N105" s="1"/>
      <c r="O105" s="1"/>
      <c r="P105" s="1"/>
    </row>
    <row r="106" spans="1:16" ht="13.15" customHeight="1" x14ac:dyDescent="0.25">
      <c r="A106" s="1"/>
      <c r="B106" s="1"/>
      <c r="C106" s="1"/>
      <c r="D106" s="1"/>
      <c r="E106" s="1"/>
      <c r="F106" s="16" t="s">
        <v>588</v>
      </c>
      <c r="G106" s="17" t="s">
        <v>589</v>
      </c>
      <c r="H106" s="16" t="s">
        <v>520</v>
      </c>
      <c r="I106" s="1"/>
      <c r="J106" s="1"/>
      <c r="K106" s="1"/>
      <c r="L106" s="1"/>
      <c r="M106" s="1"/>
      <c r="N106" s="1"/>
      <c r="O106" s="1"/>
      <c r="P106" s="1"/>
    </row>
    <row r="107" spans="1:16" ht="13.15" customHeight="1" x14ac:dyDescent="0.25">
      <c r="A107" s="1"/>
      <c r="B107" s="1"/>
      <c r="C107" s="1"/>
      <c r="D107" s="1"/>
      <c r="E107" s="1"/>
      <c r="F107" s="16" t="s">
        <v>590</v>
      </c>
      <c r="G107" s="17" t="s">
        <v>589</v>
      </c>
      <c r="H107" s="16" t="s">
        <v>520</v>
      </c>
      <c r="I107" s="1"/>
      <c r="J107" s="1"/>
      <c r="K107" s="1"/>
      <c r="L107" s="1"/>
      <c r="M107" s="1"/>
      <c r="N107" s="1"/>
      <c r="O107" s="1"/>
      <c r="P107" s="1"/>
    </row>
    <row r="108" spans="1:16" ht="13.15" customHeight="1" x14ac:dyDescent="0.25">
      <c r="A108" s="1"/>
      <c r="B108" s="1"/>
      <c r="C108" s="1"/>
      <c r="D108" s="1"/>
      <c r="E108" s="1"/>
      <c r="F108" s="16" t="s">
        <v>591</v>
      </c>
      <c r="G108" s="17" t="s">
        <v>592</v>
      </c>
      <c r="H108" s="16" t="s">
        <v>520</v>
      </c>
      <c r="I108" s="1"/>
      <c r="J108" s="1"/>
      <c r="K108" s="1"/>
      <c r="L108" s="1"/>
      <c r="M108" s="1"/>
      <c r="N108" s="1"/>
      <c r="O108" s="1"/>
      <c r="P108" s="1"/>
    </row>
    <row r="109" spans="1:16" ht="13.15" customHeight="1" x14ac:dyDescent="0.25">
      <c r="A109" s="1"/>
      <c r="B109" s="1"/>
      <c r="C109" s="1"/>
      <c r="D109" s="1"/>
      <c r="E109" s="1"/>
      <c r="F109" s="16" t="s">
        <v>593</v>
      </c>
      <c r="G109" s="17" t="s">
        <v>592</v>
      </c>
      <c r="H109" s="16" t="s">
        <v>520</v>
      </c>
      <c r="I109" s="1"/>
      <c r="J109" s="1"/>
      <c r="K109" s="1"/>
      <c r="L109" s="1"/>
      <c r="M109" s="1"/>
      <c r="N109" s="1"/>
      <c r="O109" s="1"/>
      <c r="P109" s="1"/>
    </row>
    <row r="110" spans="1:16" ht="13.15" customHeight="1" x14ac:dyDescent="0.25">
      <c r="A110" s="1"/>
      <c r="B110" s="1"/>
      <c r="C110" s="1"/>
      <c r="D110" s="1"/>
      <c r="E110" s="1"/>
      <c r="F110" s="16" t="s">
        <v>537</v>
      </c>
      <c r="G110" s="17" t="s">
        <v>594</v>
      </c>
      <c r="H110" s="16" t="s">
        <v>520</v>
      </c>
      <c r="I110" s="1"/>
      <c r="J110" s="1"/>
      <c r="K110" s="1"/>
      <c r="L110" s="1"/>
      <c r="M110" s="1"/>
      <c r="N110" s="1"/>
      <c r="O110" s="1"/>
      <c r="P110" s="1"/>
    </row>
    <row r="111" spans="1:16" ht="13.15" customHeight="1" x14ac:dyDescent="0.25">
      <c r="A111" s="1"/>
      <c r="B111" s="1"/>
      <c r="C111" s="1"/>
      <c r="D111" s="1"/>
      <c r="E111" s="1"/>
      <c r="F111" s="16" t="s">
        <v>595</v>
      </c>
      <c r="G111" s="17" t="s">
        <v>596</v>
      </c>
      <c r="H111" s="16" t="s">
        <v>520</v>
      </c>
      <c r="I111" s="1"/>
      <c r="J111" s="1"/>
      <c r="K111" s="1"/>
      <c r="L111" s="1"/>
      <c r="M111" s="1"/>
      <c r="N111" s="1"/>
      <c r="O111" s="1"/>
      <c r="P111" s="1"/>
    </row>
    <row r="112" spans="1:16" ht="13.15" customHeight="1" x14ac:dyDescent="0.25">
      <c r="A112" s="1"/>
      <c r="B112" s="1"/>
      <c r="C112" s="1"/>
      <c r="D112" s="1"/>
      <c r="E112" s="1"/>
      <c r="F112" s="16" t="s">
        <v>597</v>
      </c>
      <c r="G112" s="17" t="s">
        <v>598</v>
      </c>
      <c r="H112" s="16" t="s">
        <v>520</v>
      </c>
      <c r="I112" s="1"/>
      <c r="J112" s="1"/>
      <c r="K112" s="1"/>
      <c r="L112" s="1"/>
      <c r="M112" s="1"/>
      <c r="N112" s="1"/>
      <c r="O112" s="1"/>
      <c r="P112" s="1"/>
    </row>
    <row r="113" spans="1:16" ht="13.15" customHeight="1" x14ac:dyDescent="0.25">
      <c r="A113" s="1"/>
      <c r="B113" s="1"/>
      <c r="C113" s="1"/>
      <c r="D113" s="1"/>
      <c r="E113" s="1"/>
      <c r="F113" s="16" t="s">
        <v>599</v>
      </c>
      <c r="G113" s="17" t="s">
        <v>600</v>
      </c>
      <c r="H113" s="16" t="s">
        <v>520</v>
      </c>
      <c r="I113" s="1"/>
      <c r="J113" s="1"/>
      <c r="K113" s="1"/>
      <c r="L113" s="1"/>
      <c r="M113" s="1"/>
      <c r="N113" s="1"/>
      <c r="O113" s="1"/>
      <c r="P113" s="1"/>
    </row>
    <row r="114" spans="1:16" ht="13.15" customHeight="1" x14ac:dyDescent="0.25">
      <c r="A114" s="1"/>
      <c r="B114" s="1"/>
      <c r="C114" s="1"/>
      <c r="D114" s="1"/>
      <c r="E114" s="1"/>
      <c r="F114" s="16" t="s">
        <v>601</v>
      </c>
      <c r="G114" s="17" t="s">
        <v>602</v>
      </c>
      <c r="H114" s="16" t="s">
        <v>520</v>
      </c>
      <c r="I114" s="1"/>
      <c r="J114" s="1"/>
      <c r="K114" s="1"/>
      <c r="L114" s="1"/>
      <c r="M114" s="1"/>
      <c r="N114" s="1"/>
      <c r="O114" s="1"/>
      <c r="P114" s="1"/>
    </row>
    <row r="115" spans="1:16" ht="13.15" customHeight="1" x14ac:dyDescent="0.25">
      <c r="A115" s="1"/>
      <c r="B115" s="1"/>
      <c r="C115" s="1"/>
      <c r="D115" s="1"/>
      <c r="E115" s="1"/>
      <c r="F115" s="16" t="s">
        <v>603</v>
      </c>
      <c r="G115" s="17" t="s">
        <v>602</v>
      </c>
      <c r="H115" s="16" t="s">
        <v>520</v>
      </c>
      <c r="I115" s="1"/>
      <c r="J115" s="1"/>
      <c r="K115" s="1"/>
      <c r="L115" s="1"/>
      <c r="M115" s="1"/>
      <c r="N115" s="1"/>
      <c r="O115" s="1"/>
      <c r="P115" s="1"/>
    </row>
    <row r="116" spans="1:16" ht="13.15" customHeight="1" x14ac:dyDescent="0.25">
      <c r="A116" s="1"/>
      <c r="B116" s="1"/>
      <c r="C116" s="1"/>
      <c r="D116" s="1"/>
      <c r="E116" s="1"/>
      <c r="F116" s="16" t="s">
        <v>604</v>
      </c>
      <c r="G116" s="17" t="s">
        <v>605</v>
      </c>
      <c r="H116" s="16" t="s">
        <v>520</v>
      </c>
      <c r="I116" s="1"/>
      <c r="J116" s="1"/>
      <c r="K116" s="1"/>
      <c r="L116" s="1"/>
      <c r="M116" s="1"/>
      <c r="N116" s="1"/>
      <c r="O116" s="1"/>
      <c r="P116" s="1"/>
    </row>
    <row r="117" spans="1:16" ht="13.15" customHeight="1" x14ac:dyDescent="0.25">
      <c r="A117" s="1"/>
      <c r="B117" s="1"/>
      <c r="C117" s="1"/>
      <c r="D117" s="1"/>
      <c r="E117" s="1"/>
      <c r="F117" s="16" t="s">
        <v>606</v>
      </c>
      <c r="G117" s="17" t="s">
        <v>607</v>
      </c>
      <c r="H117" s="16" t="s">
        <v>520</v>
      </c>
      <c r="I117" s="1"/>
      <c r="J117" s="1"/>
      <c r="K117" s="1"/>
      <c r="L117" s="1"/>
      <c r="M117" s="1"/>
      <c r="N117" s="1"/>
      <c r="O117" s="1"/>
      <c r="P117" s="1"/>
    </row>
    <row r="118" spans="1:16" ht="13.15" customHeight="1" x14ac:dyDescent="0.25">
      <c r="A118" s="1"/>
      <c r="B118" s="1"/>
      <c r="C118" s="1"/>
      <c r="D118" s="1"/>
      <c r="E118" s="1"/>
      <c r="F118" s="16" t="s">
        <v>608</v>
      </c>
      <c r="G118" s="17" t="s">
        <v>609</v>
      </c>
      <c r="H118" s="16" t="s">
        <v>520</v>
      </c>
      <c r="I118" s="1"/>
      <c r="J118" s="1"/>
      <c r="K118" s="1"/>
      <c r="L118" s="1"/>
      <c r="M118" s="1"/>
      <c r="N118" s="1"/>
      <c r="O118" s="1"/>
      <c r="P118" s="1"/>
    </row>
    <row r="119" spans="1:16" ht="13.15" customHeight="1" x14ac:dyDescent="0.25">
      <c r="A119" s="1"/>
      <c r="B119" s="1"/>
      <c r="C119" s="1"/>
      <c r="D119" s="1"/>
      <c r="E119" s="1"/>
      <c r="F119" s="16" t="s">
        <v>610</v>
      </c>
      <c r="G119" s="17" t="s">
        <v>611</v>
      </c>
      <c r="H119" s="16" t="s">
        <v>520</v>
      </c>
      <c r="I119" s="1"/>
      <c r="J119" s="1"/>
      <c r="K119" s="1"/>
      <c r="L119" s="1"/>
      <c r="M119" s="1"/>
      <c r="N119" s="1"/>
      <c r="O119" s="1"/>
      <c r="P119" s="1"/>
    </row>
    <row r="120" spans="1:16" ht="13.15" customHeight="1" x14ac:dyDescent="0.25">
      <c r="A120" s="1"/>
      <c r="B120" s="1"/>
      <c r="C120" s="1"/>
      <c r="D120" s="1"/>
      <c r="E120" s="1"/>
      <c r="F120" s="16" t="s">
        <v>612</v>
      </c>
      <c r="G120" s="17" t="s">
        <v>611</v>
      </c>
      <c r="H120" s="16" t="s">
        <v>520</v>
      </c>
      <c r="I120" s="1"/>
      <c r="J120" s="1"/>
      <c r="K120" s="1"/>
      <c r="L120" s="1"/>
      <c r="M120" s="1"/>
      <c r="N120" s="1"/>
      <c r="O120" s="1"/>
      <c r="P120" s="1"/>
    </row>
    <row r="121" spans="1:16" ht="13.15" customHeight="1" x14ac:dyDescent="0.25">
      <c r="A121" s="1"/>
      <c r="B121" s="1"/>
      <c r="C121" s="1"/>
      <c r="D121" s="1"/>
      <c r="E121" s="1"/>
      <c r="F121" s="16" t="s">
        <v>613</v>
      </c>
      <c r="G121" s="17" t="s">
        <v>611</v>
      </c>
      <c r="H121" s="16" t="s">
        <v>520</v>
      </c>
      <c r="I121" s="1"/>
      <c r="J121" s="1"/>
      <c r="K121" s="1"/>
      <c r="L121" s="1"/>
      <c r="M121" s="1"/>
      <c r="N121" s="1"/>
      <c r="O121" s="1"/>
      <c r="P121" s="1"/>
    </row>
    <row r="122" spans="1:16" ht="13.15" customHeight="1" x14ac:dyDescent="0.25">
      <c r="A122" s="1"/>
      <c r="B122" s="1"/>
      <c r="C122" s="1"/>
      <c r="D122" s="1"/>
      <c r="E122" s="1"/>
      <c r="F122" s="16" t="s">
        <v>614</v>
      </c>
      <c r="G122" s="17" t="s">
        <v>611</v>
      </c>
      <c r="H122" s="16" t="s">
        <v>520</v>
      </c>
      <c r="I122" s="1"/>
      <c r="J122" s="1"/>
      <c r="K122" s="1"/>
      <c r="L122" s="1"/>
      <c r="M122" s="1"/>
      <c r="N122" s="1"/>
      <c r="O122" s="1"/>
      <c r="P122" s="1"/>
    </row>
    <row r="123" spans="1:16" ht="13.15" customHeight="1" x14ac:dyDescent="0.25">
      <c r="A123" s="1"/>
      <c r="B123" s="1"/>
      <c r="C123" s="1"/>
      <c r="D123" s="1"/>
      <c r="E123" s="1"/>
      <c r="F123" s="16" t="s">
        <v>615</v>
      </c>
      <c r="G123" s="17" t="s">
        <v>611</v>
      </c>
      <c r="H123" s="16" t="s">
        <v>520</v>
      </c>
      <c r="I123" s="1"/>
      <c r="J123" s="1"/>
      <c r="K123" s="1"/>
      <c r="L123" s="1"/>
      <c r="M123" s="1"/>
      <c r="N123" s="1"/>
      <c r="O123" s="1"/>
      <c r="P123" s="1"/>
    </row>
    <row r="124" spans="1:16" ht="13.15" customHeight="1" x14ac:dyDescent="0.25">
      <c r="A124" s="1"/>
      <c r="B124" s="1"/>
      <c r="C124" s="1"/>
      <c r="D124" s="1"/>
      <c r="E124" s="1"/>
      <c r="F124" s="16" t="s">
        <v>616</v>
      </c>
      <c r="G124" s="17" t="s">
        <v>617</v>
      </c>
      <c r="H124" s="16" t="s">
        <v>520</v>
      </c>
      <c r="I124" s="1"/>
      <c r="J124" s="1"/>
      <c r="K124" s="1"/>
      <c r="L124" s="1"/>
      <c r="M124" s="1"/>
      <c r="N124" s="1"/>
      <c r="O124" s="1"/>
      <c r="P124" s="1"/>
    </row>
    <row r="125" spans="1:16" ht="13.15" customHeight="1" x14ac:dyDescent="0.25">
      <c r="A125" s="1"/>
      <c r="B125" s="1"/>
      <c r="C125" s="1"/>
      <c r="D125" s="1"/>
      <c r="E125" s="1"/>
      <c r="F125" s="18" t="s">
        <v>618</v>
      </c>
      <c r="G125" s="19" t="s">
        <v>619</v>
      </c>
      <c r="H125" s="18" t="s">
        <v>381</v>
      </c>
      <c r="I125" s="1"/>
      <c r="J125" s="1"/>
      <c r="K125" s="1"/>
      <c r="L125" s="1"/>
      <c r="M125" s="1"/>
      <c r="N125" s="1"/>
      <c r="O125" s="1"/>
      <c r="P125" s="1"/>
    </row>
    <row r="126" spans="1:16" ht="13.15" customHeight="1" x14ac:dyDescent="0.25">
      <c r="A126" s="1"/>
      <c r="B126" s="1"/>
      <c r="C126" s="1"/>
      <c r="D126" s="1"/>
      <c r="E126" s="1"/>
      <c r="F126" s="18" t="s">
        <v>620</v>
      </c>
      <c r="G126" s="19" t="s">
        <v>621</v>
      </c>
      <c r="H126" s="18" t="s">
        <v>381</v>
      </c>
      <c r="I126" s="1"/>
      <c r="J126" s="1"/>
      <c r="K126" s="1"/>
      <c r="L126" s="1"/>
      <c r="M126" s="1"/>
      <c r="N126" s="1"/>
      <c r="O126" s="1"/>
      <c r="P126" s="1"/>
    </row>
    <row r="127" spans="1:16" ht="13.15" customHeight="1" x14ac:dyDescent="0.25">
      <c r="A127" s="1"/>
      <c r="B127" s="1"/>
      <c r="C127" s="1"/>
      <c r="D127" s="1"/>
      <c r="E127" s="1"/>
      <c r="F127" s="18" t="s">
        <v>622</v>
      </c>
      <c r="G127" s="19" t="s">
        <v>623</v>
      </c>
      <c r="H127" s="18" t="s">
        <v>381</v>
      </c>
      <c r="I127" s="1"/>
      <c r="J127" s="1"/>
      <c r="K127" s="1"/>
      <c r="L127" s="1"/>
      <c r="M127" s="1"/>
      <c r="N127" s="1"/>
      <c r="O127" s="1"/>
      <c r="P127" s="1"/>
    </row>
    <row r="128" spans="1:16" ht="13.15" customHeight="1" x14ac:dyDescent="0.25">
      <c r="A128" s="1"/>
      <c r="B128" s="1"/>
      <c r="C128" s="1"/>
      <c r="D128" s="1"/>
      <c r="E128" s="1"/>
      <c r="F128" s="18" t="s">
        <v>624</v>
      </c>
      <c r="G128" s="18" t="s">
        <v>625</v>
      </c>
      <c r="H128" s="18" t="s">
        <v>381</v>
      </c>
      <c r="I128" s="1"/>
      <c r="J128" s="1"/>
      <c r="K128" s="1"/>
      <c r="L128" s="1"/>
      <c r="M128" s="1"/>
      <c r="N128" s="1"/>
      <c r="O128" s="1"/>
      <c r="P128" s="1"/>
    </row>
    <row r="129" spans="1:16" ht="13.15" customHeight="1" x14ac:dyDescent="0.25">
      <c r="A129" s="1"/>
      <c r="B129" s="1"/>
      <c r="C129" s="1"/>
      <c r="D129" s="1"/>
      <c r="E129" s="1"/>
      <c r="F129" s="18" t="s">
        <v>626</v>
      </c>
      <c r="G129" s="18" t="s">
        <v>627</v>
      </c>
      <c r="H129" s="18" t="s">
        <v>381</v>
      </c>
      <c r="I129" s="1"/>
      <c r="J129" s="1"/>
      <c r="K129" s="1"/>
      <c r="L129" s="1"/>
      <c r="M129" s="1"/>
      <c r="N129" s="1"/>
      <c r="O129" s="1"/>
      <c r="P129" s="1"/>
    </row>
    <row r="130" spans="1:16" ht="13.15" customHeight="1" x14ac:dyDescent="0.25">
      <c r="A130" s="1"/>
      <c r="B130" s="1"/>
      <c r="C130" s="1"/>
      <c r="D130" s="1"/>
      <c r="E130" s="1"/>
      <c r="F130" s="18" t="s">
        <v>628</v>
      </c>
      <c r="G130" s="18" t="s">
        <v>629</v>
      </c>
      <c r="H130" s="18" t="s">
        <v>381</v>
      </c>
      <c r="I130" s="1"/>
      <c r="J130" s="1"/>
      <c r="K130" s="1"/>
      <c r="L130" s="1"/>
      <c r="M130" s="1"/>
      <c r="N130" s="1"/>
      <c r="O130" s="1"/>
      <c r="P130" s="1"/>
    </row>
    <row r="131" spans="1:16" ht="13.15" customHeight="1" x14ac:dyDescent="0.25">
      <c r="A131" s="1"/>
      <c r="B131" s="1"/>
      <c r="C131" s="1"/>
      <c r="D131" s="1"/>
      <c r="E131" s="1"/>
      <c r="F131" s="18" t="s">
        <v>630</v>
      </c>
      <c r="G131" s="18" t="s">
        <v>631</v>
      </c>
      <c r="H131" s="18" t="s">
        <v>381</v>
      </c>
      <c r="I131" s="1"/>
      <c r="J131" s="1"/>
      <c r="K131" s="1"/>
      <c r="L131" s="1"/>
      <c r="M131" s="1"/>
      <c r="N131" s="1"/>
      <c r="O131" s="1"/>
      <c r="P131" s="1"/>
    </row>
    <row r="132" spans="1:16" ht="13.15" customHeight="1" x14ac:dyDescent="0.25">
      <c r="A132" s="1"/>
      <c r="B132" s="1"/>
      <c r="C132" s="1"/>
      <c r="D132" s="1"/>
      <c r="E132" s="1"/>
      <c r="F132" s="18" t="s">
        <v>632</v>
      </c>
      <c r="G132" s="18" t="s">
        <v>633</v>
      </c>
      <c r="H132" s="18" t="s">
        <v>381</v>
      </c>
      <c r="I132" s="1"/>
      <c r="J132" s="1"/>
      <c r="K132" s="1"/>
      <c r="L132" s="1"/>
      <c r="M132" s="1"/>
      <c r="N132" s="1"/>
      <c r="O132" s="1"/>
      <c r="P132" s="1"/>
    </row>
    <row r="133" spans="1:16" ht="13.15" customHeight="1" x14ac:dyDescent="0.25">
      <c r="A133" s="1"/>
      <c r="B133" s="1"/>
      <c r="C133" s="1"/>
      <c r="D133" s="1"/>
      <c r="E133" s="1"/>
      <c r="F133" s="18" t="s">
        <v>634</v>
      </c>
      <c r="G133" s="18" t="s">
        <v>633</v>
      </c>
      <c r="H133" s="18" t="s">
        <v>381</v>
      </c>
      <c r="I133" s="1"/>
      <c r="J133" s="1"/>
      <c r="K133" s="1"/>
      <c r="L133" s="1"/>
      <c r="M133" s="1"/>
      <c r="N133" s="1"/>
      <c r="O133" s="1"/>
      <c r="P133" s="1"/>
    </row>
    <row r="134" spans="1:16" ht="13.15" customHeight="1" x14ac:dyDescent="0.25">
      <c r="A134" s="1"/>
      <c r="B134" s="1"/>
      <c r="C134" s="1"/>
      <c r="D134" s="1"/>
      <c r="E134" s="1"/>
      <c r="F134" s="18" t="s">
        <v>635</v>
      </c>
      <c r="G134" s="18" t="s">
        <v>636</v>
      </c>
      <c r="H134" s="18" t="s">
        <v>381</v>
      </c>
      <c r="I134" s="1"/>
      <c r="J134" s="1"/>
      <c r="K134" s="1"/>
      <c r="L134" s="1"/>
      <c r="M134" s="1"/>
      <c r="N134" s="1"/>
      <c r="O134" s="1"/>
      <c r="P134" s="1"/>
    </row>
    <row r="135" spans="1:16" ht="13.15" customHeight="1" x14ac:dyDescent="0.25">
      <c r="A135" s="1"/>
      <c r="B135" s="1"/>
      <c r="C135" s="1"/>
      <c r="D135" s="1"/>
      <c r="E135" s="1"/>
      <c r="F135" s="18" t="s">
        <v>637</v>
      </c>
      <c r="G135" s="18" t="s">
        <v>638</v>
      </c>
      <c r="H135" s="18" t="s">
        <v>381</v>
      </c>
      <c r="I135" s="1"/>
      <c r="J135" s="1"/>
      <c r="K135" s="1"/>
      <c r="L135" s="1"/>
      <c r="M135" s="1"/>
      <c r="N135" s="1"/>
      <c r="O135" s="1"/>
      <c r="P135" s="1"/>
    </row>
    <row r="136" spans="1:16" ht="13.15" customHeight="1" x14ac:dyDescent="0.25">
      <c r="A136" s="1"/>
      <c r="B136" s="1"/>
      <c r="C136" s="1"/>
      <c r="D136" s="1"/>
      <c r="E136" s="1"/>
      <c r="F136" s="18" t="s">
        <v>639</v>
      </c>
      <c r="G136" s="18" t="s">
        <v>640</v>
      </c>
      <c r="H136" s="18" t="s">
        <v>381</v>
      </c>
      <c r="I136" s="1"/>
      <c r="J136" s="1"/>
      <c r="K136" s="1"/>
      <c r="L136" s="1"/>
      <c r="M136" s="1"/>
      <c r="N136" s="1"/>
      <c r="O136" s="1"/>
      <c r="P136" s="1"/>
    </row>
    <row r="137" spans="1:16" ht="13.15" customHeight="1" x14ac:dyDescent="0.25">
      <c r="A137" s="1"/>
      <c r="B137" s="1"/>
      <c r="C137" s="1"/>
      <c r="D137" s="1"/>
      <c r="E137" s="1"/>
      <c r="F137" s="18" t="s">
        <v>641</v>
      </c>
      <c r="G137" s="18" t="s">
        <v>642</v>
      </c>
      <c r="H137" s="18" t="s">
        <v>381</v>
      </c>
      <c r="I137" s="1"/>
      <c r="J137" s="1"/>
      <c r="K137" s="1"/>
      <c r="L137" s="1"/>
      <c r="M137" s="1"/>
      <c r="N137" s="1"/>
      <c r="O137" s="1"/>
      <c r="P137" s="1"/>
    </row>
    <row r="138" spans="1:16" ht="13.15" customHeight="1" x14ac:dyDescent="0.25">
      <c r="A138" s="1"/>
      <c r="B138" s="1"/>
      <c r="C138" s="1"/>
      <c r="D138" s="1"/>
      <c r="E138" s="1"/>
      <c r="F138" s="18" t="s">
        <v>264</v>
      </c>
      <c r="G138" s="18" t="s">
        <v>643</v>
      </c>
      <c r="H138" s="18" t="s">
        <v>381</v>
      </c>
      <c r="I138" s="1"/>
      <c r="J138" s="1"/>
      <c r="K138" s="1"/>
      <c r="L138" s="1"/>
      <c r="M138" s="1"/>
      <c r="N138" s="1"/>
      <c r="O138" s="1"/>
      <c r="P138" s="1"/>
    </row>
    <row r="139" spans="1:16" ht="13.15" customHeight="1" x14ac:dyDescent="0.25">
      <c r="A139" s="1"/>
      <c r="B139" s="1"/>
      <c r="C139" s="1"/>
      <c r="D139" s="1"/>
      <c r="E139" s="1"/>
      <c r="F139" s="18" t="s">
        <v>270</v>
      </c>
      <c r="G139" s="18" t="s">
        <v>644</v>
      </c>
      <c r="H139" s="18" t="s">
        <v>381</v>
      </c>
      <c r="I139" s="1"/>
      <c r="J139" s="1"/>
      <c r="K139" s="1"/>
      <c r="L139" s="1"/>
      <c r="M139" s="1"/>
      <c r="N139" s="1"/>
      <c r="O139" s="1"/>
      <c r="P139" s="1"/>
    </row>
    <row r="140" spans="1:16" ht="13.15" customHeight="1" x14ac:dyDescent="0.25">
      <c r="A140" s="1"/>
      <c r="B140" s="1"/>
      <c r="C140" s="1"/>
      <c r="D140" s="1"/>
      <c r="E140" s="1"/>
      <c r="F140" s="18" t="s">
        <v>645</v>
      </c>
      <c r="G140" s="18" t="s">
        <v>646</v>
      </c>
      <c r="H140" s="18" t="s">
        <v>381</v>
      </c>
      <c r="I140" s="1"/>
      <c r="J140" s="1"/>
      <c r="K140" s="1"/>
      <c r="L140" s="1"/>
      <c r="M140" s="1"/>
      <c r="N140" s="1"/>
      <c r="O140" s="1"/>
      <c r="P140" s="1"/>
    </row>
    <row r="141" spans="1:16" ht="13.15" customHeight="1" x14ac:dyDescent="0.25">
      <c r="A141" s="1"/>
      <c r="B141" s="1"/>
      <c r="C141" s="1"/>
      <c r="D141" s="1"/>
      <c r="E141" s="1"/>
      <c r="F141" s="18" t="s">
        <v>647</v>
      </c>
      <c r="G141" s="18" t="s">
        <v>648</v>
      </c>
      <c r="H141" s="18" t="s">
        <v>381</v>
      </c>
      <c r="I141" s="1"/>
      <c r="J141" s="1"/>
      <c r="K141" s="1"/>
      <c r="L141" s="1"/>
      <c r="M141" s="1"/>
      <c r="N141" s="1"/>
      <c r="O141" s="1"/>
      <c r="P141" s="1"/>
    </row>
    <row r="142" spans="1:16" ht="13.15" customHeight="1" x14ac:dyDescent="0.25">
      <c r="A142" s="1"/>
      <c r="B142" s="1"/>
      <c r="C142" s="1"/>
      <c r="D142" s="1"/>
      <c r="E142" s="1"/>
      <c r="F142" s="18" t="s">
        <v>649</v>
      </c>
      <c r="G142" s="18" t="s">
        <v>648</v>
      </c>
      <c r="H142" s="18" t="s">
        <v>381</v>
      </c>
      <c r="I142" s="1"/>
      <c r="J142" s="1"/>
      <c r="K142" s="1"/>
      <c r="L142" s="1"/>
      <c r="M142" s="1"/>
      <c r="N142" s="1"/>
      <c r="O142" s="1"/>
      <c r="P142" s="1"/>
    </row>
    <row r="143" spans="1:16" ht="13.15" customHeight="1" x14ac:dyDescent="0.25">
      <c r="A143" s="1"/>
      <c r="B143" s="1"/>
      <c r="C143" s="1"/>
      <c r="D143" s="1"/>
      <c r="E143" s="1"/>
      <c r="F143" s="18" t="s">
        <v>650</v>
      </c>
      <c r="G143" s="18" t="s">
        <v>648</v>
      </c>
      <c r="H143" s="18" t="s">
        <v>381</v>
      </c>
      <c r="I143" s="1"/>
      <c r="J143" s="1"/>
      <c r="K143" s="1"/>
      <c r="L143" s="1"/>
      <c r="M143" s="1"/>
      <c r="N143" s="1"/>
      <c r="O143" s="1"/>
      <c r="P143" s="1"/>
    </row>
    <row r="144" spans="1:16" ht="13.15" customHeight="1" x14ac:dyDescent="0.25">
      <c r="A144" s="1"/>
      <c r="B144" s="1"/>
      <c r="C144" s="1"/>
      <c r="D144" s="1"/>
      <c r="E144" s="1"/>
      <c r="F144" s="18" t="s">
        <v>651</v>
      </c>
      <c r="G144" s="18" t="s">
        <v>648</v>
      </c>
      <c r="H144" s="18" t="s">
        <v>381</v>
      </c>
      <c r="I144" s="1"/>
      <c r="J144" s="1"/>
      <c r="K144" s="1"/>
      <c r="L144" s="1"/>
      <c r="M144" s="1"/>
      <c r="N144" s="1"/>
      <c r="O144" s="1"/>
      <c r="P144" s="1"/>
    </row>
    <row r="145" spans="1:16" ht="13.15" customHeight="1" x14ac:dyDescent="0.25">
      <c r="A145" s="1"/>
      <c r="B145" s="1"/>
      <c r="C145" s="1"/>
      <c r="D145" s="1"/>
      <c r="E145" s="1"/>
      <c r="F145" s="18" t="s">
        <v>652</v>
      </c>
      <c r="G145" s="18" t="s">
        <v>648</v>
      </c>
      <c r="H145" s="18" t="s">
        <v>381</v>
      </c>
      <c r="I145" s="1"/>
      <c r="J145" s="1"/>
      <c r="K145" s="1"/>
      <c r="L145" s="1"/>
      <c r="M145" s="1"/>
      <c r="N145" s="1"/>
      <c r="O145" s="1"/>
      <c r="P145" s="1"/>
    </row>
    <row r="146" spans="1:16" ht="13.15" customHeight="1" x14ac:dyDescent="0.25">
      <c r="A146" s="1"/>
      <c r="B146" s="1"/>
      <c r="C146" s="1"/>
      <c r="D146" s="1"/>
      <c r="E146" s="1"/>
      <c r="F146" s="18" t="s">
        <v>653</v>
      </c>
      <c r="G146" s="18" t="s">
        <v>648</v>
      </c>
      <c r="H146" s="18" t="s">
        <v>381</v>
      </c>
      <c r="I146" s="1"/>
      <c r="J146" s="1"/>
      <c r="K146" s="1"/>
      <c r="L146" s="1"/>
      <c r="M146" s="1"/>
      <c r="N146" s="1"/>
      <c r="O146" s="1"/>
      <c r="P146" s="1"/>
    </row>
    <row r="147" spans="1:16" ht="13.15" customHeight="1" x14ac:dyDescent="0.25">
      <c r="A147" s="1"/>
      <c r="B147" s="1"/>
      <c r="C147" s="1"/>
      <c r="D147" s="1"/>
      <c r="E147" s="1"/>
      <c r="F147" s="18" t="s">
        <v>654</v>
      </c>
      <c r="G147" s="19" t="s">
        <v>648</v>
      </c>
      <c r="H147" s="18" t="s">
        <v>381</v>
      </c>
      <c r="I147" s="1"/>
      <c r="J147" s="1"/>
      <c r="K147" s="1"/>
      <c r="L147" s="1"/>
      <c r="M147" s="1"/>
      <c r="N147" s="1"/>
      <c r="O147" s="1"/>
      <c r="P147" s="1"/>
    </row>
    <row r="148" spans="1:16" ht="13.15" customHeight="1" x14ac:dyDescent="0.25">
      <c r="A148" s="1"/>
      <c r="B148" s="1"/>
      <c r="C148" s="1"/>
      <c r="D148" s="1"/>
      <c r="E148" s="1"/>
      <c r="F148" s="18" t="s">
        <v>655</v>
      </c>
      <c r="G148" s="18" t="s">
        <v>648</v>
      </c>
      <c r="H148" s="18" t="s">
        <v>381</v>
      </c>
      <c r="I148" s="1"/>
      <c r="J148" s="1"/>
      <c r="K148" s="1"/>
      <c r="L148" s="1"/>
      <c r="M148" s="1"/>
      <c r="N148" s="1"/>
      <c r="O148" s="1"/>
      <c r="P148" s="1"/>
    </row>
    <row r="149" spans="1:16" ht="13.15" customHeight="1" x14ac:dyDescent="0.25">
      <c r="A149" s="1"/>
      <c r="B149" s="1"/>
      <c r="C149" s="1"/>
      <c r="D149" s="1"/>
      <c r="E149" s="1"/>
      <c r="F149" s="18" t="s">
        <v>656</v>
      </c>
      <c r="G149" s="18" t="s">
        <v>657</v>
      </c>
      <c r="H149" s="18" t="s">
        <v>381</v>
      </c>
      <c r="I149" s="1"/>
      <c r="J149" s="1"/>
      <c r="K149" s="1"/>
      <c r="L149" s="1"/>
      <c r="M149" s="1"/>
      <c r="N149" s="1"/>
      <c r="O149" s="1"/>
      <c r="P149" s="1"/>
    </row>
    <row r="150" spans="1:16" ht="13.15" customHeight="1" x14ac:dyDescent="0.25">
      <c r="A150" s="1"/>
      <c r="B150" s="1"/>
      <c r="C150" s="1"/>
      <c r="D150" s="1"/>
      <c r="E150" s="1"/>
      <c r="F150" s="18" t="s">
        <v>658</v>
      </c>
      <c r="G150" s="18" t="s">
        <v>659</v>
      </c>
      <c r="H150" s="18" t="s">
        <v>381</v>
      </c>
      <c r="I150" s="1"/>
      <c r="J150" s="1"/>
      <c r="K150" s="1"/>
      <c r="L150" s="1"/>
      <c r="M150" s="1"/>
      <c r="N150" s="1"/>
      <c r="O150" s="1"/>
      <c r="P150" s="1"/>
    </row>
    <row r="151" spans="1:16" ht="13.15" customHeight="1" x14ac:dyDescent="0.25">
      <c r="A151" s="1"/>
      <c r="B151" s="1"/>
      <c r="C151" s="1"/>
      <c r="D151" s="1"/>
      <c r="E151" s="1"/>
      <c r="F151" s="18" t="s">
        <v>660</v>
      </c>
      <c r="G151" s="18" t="s">
        <v>659</v>
      </c>
      <c r="H151" s="18" t="s">
        <v>381</v>
      </c>
      <c r="I151" s="1"/>
      <c r="J151" s="1"/>
      <c r="K151" s="1"/>
      <c r="L151" s="1"/>
      <c r="M151" s="1"/>
      <c r="N151" s="1"/>
      <c r="O151" s="1"/>
      <c r="P151" s="1"/>
    </row>
    <row r="152" spans="1:16" ht="13.15" customHeight="1" x14ac:dyDescent="0.25">
      <c r="A152" s="1"/>
      <c r="B152" s="1"/>
      <c r="C152" s="1"/>
      <c r="D152" s="1"/>
      <c r="E152" s="1"/>
      <c r="F152" s="18" t="s">
        <v>661</v>
      </c>
      <c r="G152" s="18" t="s">
        <v>659</v>
      </c>
      <c r="H152" s="18" t="s">
        <v>381</v>
      </c>
      <c r="I152" s="1"/>
      <c r="J152" s="1"/>
      <c r="K152" s="1"/>
      <c r="L152" s="1"/>
      <c r="M152" s="1"/>
      <c r="N152" s="1"/>
      <c r="O152" s="1"/>
      <c r="P152" s="1"/>
    </row>
    <row r="153" spans="1:16" ht="13.15" customHeight="1" x14ac:dyDescent="0.25">
      <c r="A153" s="1"/>
      <c r="B153" s="1"/>
      <c r="C153" s="1"/>
      <c r="D153" s="1"/>
      <c r="E153" s="1"/>
      <c r="F153" s="18" t="s">
        <v>662</v>
      </c>
      <c r="G153" s="18" t="s">
        <v>659</v>
      </c>
      <c r="H153" s="18" t="s">
        <v>381</v>
      </c>
      <c r="I153" s="1"/>
      <c r="J153" s="1"/>
      <c r="K153" s="1"/>
      <c r="L153" s="1"/>
      <c r="M153" s="1"/>
      <c r="N153" s="1"/>
      <c r="O153" s="1"/>
      <c r="P153" s="1"/>
    </row>
    <row r="154" spans="1:16" ht="13.15" customHeight="1" x14ac:dyDescent="0.25">
      <c r="A154" s="1"/>
      <c r="B154" s="1"/>
      <c r="C154" s="1"/>
      <c r="D154" s="1"/>
      <c r="E154" s="1"/>
      <c r="F154" s="18" t="s">
        <v>663</v>
      </c>
      <c r="G154" s="18" t="s">
        <v>659</v>
      </c>
      <c r="H154" s="18" t="s">
        <v>381</v>
      </c>
      <c r="I154" s="1"/>
      <c r="J154" s="1"/>
      <c r="K154" s="1"/>
      <c r="L154" s="1"/>
      <c r="M154" s="1"/>
      <c r="N154" s="1"/>
      <c r="O154" s="1"/>
      <c r="P154" s="1"/>
    </row>
    <row r="155" spans="1:16" ht="13.15" customHeight="1" x14ac:dyDescent="0.25">
      <c r="A155" s="1"/>
      <c r="B155" s="1"/>
      <c r="C155" s="1"/>
      <c r="D155" s="1"/>
      <c r="E155" s="1"/>
      <c r="F155" s="18" t="s">
        <v>664</v>
      </c>
      <c r="G155" s="18" t="s">
        <v>659</v>
      </c>
      <c r="H155" s="18" t="s">
        <v>381</v>
      </c>
      <c r="I155" s="1"/>
      <c r="J155" s="1"/>
      <c r="K155" s="1"/>
      <c r="L155" s="1"/>
      <c r="M155" s="1"/>
      <c r="N155" s="1"/>
      <c r="O155" s="1"/>
      <c r="P155" s="1"/>
    </row>
    <row r="156" spans="1:16" ht="13.15" customHeight="1" x14ac:dyDescent="0.25">
      <c r="A156" s="1"/>
      <c r="B156" s="1"/>
      <c r="C156" s="1"/>
      <c r="D156" s="1"/>
      <c r="E156" s="1"/>
      <c r="F156" s="18" t="s">
        <v>665</v>
      </c>
      <c r="G156" s="18" t="s">
        <v>666</v>
      </c>
      <c r="H156" s="18" t="s">
        <v>381</v>
      </c>
      <c r="I156" s="1"/>
      <c r="J156" s="1"/>
      <c r="K156" s="1"/>
      <c r="L156" s="1"/>
      <c r="M156" s="1"/>
      <c r="N156" s="1"/>
      <c r="O156" s="1"/>
      <c r="P156" s="1"/>
    </row>
    <row r="157" spans="1:16" ht="13.15" customHeight="1" x14ac:dyDescent="0.25">
      <c r="A157" s="1"/>
      <c r="B157" s="1"/>
      <c r="C157" s="1"/>
      <c r="D157" s="1"/>
      <c r="E157" s="1"/>
      <c r="F157" s="18" t="s">
        <v>667</v>
      </c>
      <c r="G157" s="19" t="s">
        <v>666</v>
      </c>
      <c r="H157" s="18" t="s">
        <v>381</v>
      </c>
      <c r="I157" s="1"/>
      <c r="J157" s="1"/>
      <c r="K157" s="1"/>
      <c r="L157" s="1"/>
      <c r="M157" s="1"/>
      <c r="N157" s="1"/>
      <c r="O157" s="1"/>
      <c r="P157" s="1"/>
    </row>
    <row r="158" spans="1:16" ht="13.15" customHeight="1" x14ac:dyDescent="0.25">
      <c r="A158" s="1"/>
      <c r="B158" s="1"/>
      <c r="C158" s="1"/>
      <c r="D158" s="1"/>
      <c r="E158" s="1"/>
      <c r="F158" s="18" t="s">
        <v>668</v>
      </c>
      <c r="G158" s="19" t="s">
        <v>669</v>
      </c>
      <c r="H158" s="18" t="s">
        <v>381</v>
      </c>
      <c r="I158" s="1"/>
      <c r="J158" s="1"/>
      <c r="K158" s="1"/>
      <c r="L158" s="1"/>
      <c r="M158" s="1"/>
      <c r="N158" s="1"/>
      <c r="O158" s="1"/>
      <c r="P158" s="1"/>
    </row>
    <row r="159" spans="1:16" ht="13.15" customHeight="1" x14ac:dyDescent="0.25">
      <c r="A159" s="1"/>
      <c r="B159" s="1"/>
      <c r="C159" s="1"/>
      <c r="D159" s="1"/>
      <c r="E159" s="1"/>
      <c r="F159" s="18" t="s">
        <v>670</v>
      </c>
      <c r="G159" s="19" t="s">
        <v>671</v>
      </c>
      <c r="H159" s="18" t="s">
        <v>381</v>
      </c>
      <c r="I159" s="1"/>
      <c r="J159" s="1"/>
      <c r="K159" s="1"/>
      <c r="L159" s="1"/>
      <c r="M159" s="1"/>
      <c r="N159" s="1"/>
      <c r="O159" s="1"/>
      <c r="P159" s="1"/>
    </row>
    <row r="160" spans="1:16" ht="13.15" customHeight="1" x14ac:dyDescent="0.25">
      <c r="A160" s="1"/>
      <c r="B160" s="1"/>
      <c r="C160" s="1"/>
      <c r="D160" s="1"/>
      <c r="E160" s="1"/>
      <c r="F160" s="18" t="s">
        <v>672</v>
      </c>
      <c r="G160" s="19" t="s">
        <v>673</v>
      </c>
      <c r="H160" s="18" t="s">
        <v>381</v>
      </c>
      <c r="I160" s="1"/>
      <c r="J160" s="1"/>
      <c r="K160" s="1"/>
      <c r="L160" s="1"/>
      <c r="M160" s="1"/>
      <c r="N160" s="1"/>
      <c r="O160" s="1"/>
      <c r="P160" s="1"/>
    </row>
    <row r="161" spans="1:16" ht="13.15" customHeight="1" x14ac:dyDescent="0.25">
      <c r="A161" s="1"/>
      <c r="B161" s="1"/>
      <c r="C161" s="1"/>
      <c r="D161" s="1"/>
      <c r="E161" s="1"/>
      <c r="F161" s="18" t="s">
        <v>674</v>
      </c>
      <c r="G161" s="19" t="s">
        <v>675</v>
      </c>
      <c r="H161" s="18" t="s">
        <v>381</v>
      </c>
      <c r="I161" s="1"/>
      <c r="J161" s="1"/>
      <c r="K161" s="1"/>
      <c r="L161" s="1"/>
      <c r="M161" s="1"/>
      <c r="N161" s="1"/>
      <c r="O161" s="1"/>
      <c r="P161" s="1"/>
    </row>
    <row r="162" spans="1:16" ht="13.15" customHeight="1" x14ac:dyDescent="0.25">
      <c r="A162" s="1"/>
      <c r="B162" s="1"/>
      <c r="C162" s="1"/>
      <c r="D162" s="1"/>
      <c r="E162" s="1"/>
      <c r="F162" s="18" t="s">
        <v>676</v>
      </c>
      <c r="G162" s="19" t="s">
        <v>675</v>
      </c>
      <c r="H162" s="18" t="s">
        <v>381</v>
      </c>
      <c r="I162" s="1"/>
      <c r="J162" s="1"/>
      <c r="K162" s="1"/>
      <c r="L162" s="1"/>
      <c r="M162" s="1"/>
      <c r="N162" s="1"/>
      <c r="O162" s="1"/>
      <c r="P162" s="1"/>
    </row>
    <row r="163" spans="1:16" ht="13.15" customHeight="1" x14ac:dyDescent="0.25">
      <c r="A163" s="1"/>
      <c r="B163" s="1"/>
      <c r="C163" s="1"/>
      <c r="D163" s="1"/>
      <c r="E163" s="1"/>
      <c r="F163" s="18" t="s">
        <v>677</v>
      </c>
      <c r="G163" s="19" t="s">
        <v>675</v>
      </c>
      <c r="H163" s="18" t="s">
        <v>381</v>
      </c>
      <c r="I163" s="1"/>
      <c r="J163" s="1"/>
      <c r="K163" s="1"/>
      <c r="L163" s="1"/>
      <c r="M163" s="1"/>
      <c r="N163" s="1"/>
      <c r="O163" s="1"/>
      <c r="P163" s="1"/>
    </row>
    <row r="164" spans="1:16" ht="13.15" customHeight="1" x14ac:dyDescent="0.25">
      <c r="A164" s="1"/>
      <c r="B164" s="1"/>
      <c r="C164" s="1"/>
      <c r="D164" s="1"/>
      <c r="E164" s="1"/>
      <c r="F164" s="18" t="s">
        <v>678</v>
      </c>
      <c r="G164" s="19" t="s">
        <v>675</v>
      </c>
      <c r="H164" s="18" t="s">
        <v>381</v>
      </c>
      <c r="I164" s="1"/>
      <c r="J164" s="1"/>
      <c r="K164" s="1"/>
      <c r="L164" s="1"/>
      <c r="M164" s="1"/>
      <c r="N164" s="1"/>
      <c r="O164" s="1"/>
      <c r="P164" s="1"/>
    </row>
    <row r="165" spans="1:16" ht="13.15" customHeight="1" x14ac:dyDescent="0.25">
      <c r="A165" s="1"/>
      <c r="B165" s="1"/>
      <c r="C165" s="1"/>
      <c r="D165" s="1"/>
      <c r="E165" s="1"/>
      <c r="F165" s="18" t="s">
        <v>679</v>
      </c>
      <c r="G165" s="19" t="s">
        <v>680</v>
      </c>
      <c r="H165" s="18" t="s">
        <v>381</v>
      </c>
      <c r="I165" s="1"/>
      <c r="J165" s="1"/>
      <c r="K165" s="1"/>
      <c r="L165" s="1"/>
      <c r="M165" s="1"/>
      <c r="N165" s="1"/>
      <c r="O165" s="1"/>
      <c r="P165" s="1"/>
    </row>
    <row r="166" spans="1:16" ht="13.15" customHeight="1" x14ac:dyDescent="0.25">
      <c r="A166" s="1"/>
      <c r="B166" s="1"/>
      <c r="C166" s="1"/>
      <c r="D166" s="1"/>
      <c r="E166" s="1"/>
      <c r="F166" s="18" t="s">
        <v>681</v>
      </c>
      <c r="G166" s="19" t="s">
        <v>682</v>
      </c>
      <c r="H166" s="18" t="s">
        <v>381</v>
      </c>
      <c r="I166" s="1"/>
      <c r="J166" s="1"/>
      <c r="K166" s="1"/>
      <c r="L166" s="1"/>
      <c r="M166" s="1"/>
      <c r="N166" s="1"/>
      <c r="O166" s="1"/>
      <c r="P166" s="1"/>
    </row>
    <row r="167" spans="1:16" ht="13.15" customHeight="1" x14ac:dyDescent="0.25">
      <c r="A167" s="1"/>
      <c r="B167" s="1"/>
      <c r="C167" s="1"/>
      <c r="D167" s="1"/>
      <c r="E167" s="1"/>
      <c r="F167" s="18" t="s">
        <v>683</v>
      </c>
      <c r="G167" s="19" t="s">
        <v>684</v>
      </c>
      <c r="H167" s="18" t="s">
        <v>381</v>
      </c>
      <c r="I167" s="1"/>
      <c r="J167" s="1"/>
      <c r="K167" s="1"/>
      <c r="L167" s="1"/>
      <c r="M167" s="1"/>
      <c r="N167" s="1"/>
      <c r="O167" s="1"/>
      <c r="P167" s="1"/>
    </row>
    <row r="168" spans="1:16" ht="13.15" customHeight="1" x14ac:dyDescent="0.25">
      <c r="A168" s="1"/>
      <c r="B168" s="1"/>
      <c r="C168" s="1"/>
      <c r="D168" s="1"/>
      <c r="E168" s="1"/>
      <c r="F168" s="18" t="s">
        <v>685</v>
      </c>
      <c r="G168" s="19" t="s">
        <v>686</v>
      </c>
      <c r="H168" s="18" t="s">
        <v>381</v>
      </c>
      <c r="I168" s="1"/>
      <c r="J168" s="1"/>
      <c r="K168" s="1"/>
      <c r="L168" s="1"/>
      <c r="M168" s="1"/>
      <c r="N168" s="1"/>
      <c r="O168" s="1"/>
      <c r="P168" s="1"/>
    </row>
    <row r="169" spans="1:16" ht="13.15" customHeight="1" x14ac:dyDescent="0.25">
      <c r="A169" s="1"/>
      <c r="B169" s="1"/>
      <c r="C169" s="1"/>
      <c r="D169" s="1"/>
      <c r="E169" s="1"/>
      <c r="F169" s="18" t="s">
        <v>687</v>
      </c>
      <c r="G169" s="19" t="s">
        <v>688</v>
      </c>
      <c r="H169" s="18" t="s">
        <v>381</v>
      </c>
      <c r="I169" s="1"/>
      <c r="J169" s="1"/>
      <c r="K169" s="1"/>
      <c r="L169" s="1"/>
      <c r="M169" s="1"/>
      <c r="N169" s="1"/>
      <c r="O169" s="1"/>
      <c r="P169" s="1"/>
    </row>
    <row r="170" spans="1:16" ht="13.15" customHeight="1" x14ac:dyDescent="0.25">
      <c r="A170" s="1"/>
      <c r="B170" s="1"/>
      <c r="C170" s="1"/>
      <c r="D170" s="1"/>
      <c r="E170" s="1"/>
      <c r="F170" s="18" t="s">
        <v>689</v>
      </c>
      <c r="G170" s="19" t="s">
        <v>689</v>
      </c>
      <c r="H170" s="18" t="s">
        <v>381</v>
      </c>
      <c r="I170" s="1"/>
      <c r="J170" s="1"/>
      <c r="K170" s="1"/>
      <c r="L170" s="1"/>
      <c r="M170" s="1"/>
      <c r="N170" s="1"/>
      <c r="O170" s="1"/>
      <c r="P170" s="1"/>
    </row>
    <row r="171" spans="1:16" ht="13.15" customHeight="1" x14ac:dyDescent="0.25">
      <c r="A171" s="1"/>
      <c r="B171" s="1"/>
      <c r="C171" s="1"/>
      <c r="D171" s="1"/>
      <c r="E171" s="1"/>
      <c r="F171" s="18" t="s">
        <v>690</v>
      </c>
      <c r="G171" s="19" t="s">
        <v>691</v>
      </c>
      <c r="H171" s="18" t="s">
        <v>381</v>
      </c>
      <c r="I171" s="1"/>
      <c r="J171" s="1"/>
      <c r="K171" s="1"/>
      <c r="L171" s="1"/>
      <c r="M171" s="1"/>
      <c r="N171" s="1"/>
      <c r="O171" s="1"/>
      <c r="P171" s="1"/>
    </row>
    <row r="172" spans="1:16" ht="13.15" customHeight="1" x14ac:dyDescent="0.25">
      <c r="A172" s="1"/>
      <c r="B172" s="1"/>
      <c r="C172" s="1"/>
      <c r="D172" s="1"/>
      <c r="E172" s="1"/>
      <c r="F172" s="18" t="s">
        <v>692</v>
      </c>
      <c r="G172" s="19" t="s">
        <v>692</v>
      </c>
      <c r="H172" s="18" t="s">
        <v>381</v>
      </c>
      <c r="I172" s="1"/>
      <c r="J172" s="1"/>
      <c r="K172" s="1"/>
      <c r="L172" s="1"/>
      <c r="M172" s="1"/>
      <c r="N172" s="1"/>
      <c r="O172" s="1"/>
      <c r="P172" s="1"/>
    </row>
    <row r="173" spans="1:16" ht="13.15" customHeight="1" x14ac:dyDescent="0.25">
      <c r="A173" s="1"/>
      <c r="B173" s="1"/>
      <c r="C173" s="1"/>
      <c r="D173" s="1"/>
      <c r="E173" s="1"/>
      <c r="F173" s="18" t="s">
        <v>693</v>
      </c>
      <c r="G173" s="19" t="s">
        <v>694</v>
      </c>
      <c r="H173" s="18" t="s">
        <v>381</v>
      </c>
      <c r="I173" s="1"/>
      <c r="J173" s="1"/>
      <c r="K173" s="1"/>
      <c r="L173" s="1"/>
      <c r="M173" s="1"/>
      <c r="N173" s="1"/>
      <c r="O173" s="1"/>
      <c r="P173" s="1"/>
    </row>
    <row r="174" spans="1:16" ht="13.15" customHeight="1" x14ac:dyDescent="0.25">
      <c r="A174" s="1"/>
      <c r="B174" s="1"/>
      <c r="C174" s="1"/>
      <c r="D174" s="1"/>
      <c r="E174" s="1"/>
      <c r="F174" s="18" t="s">
        <v>695</v>
      </c>
      <c r="G174" s="19" t="s">
        <v>696</v>
      </c>
      <c r="H174" s="18" t="s">
        <v>381</v>
      </c>
      <c r="I174" s="1"/>
      <c r="J174" s="1"/>
      <c r="K174" s="1"/>
      <c r="L174" s="1"/>
      <c r="M174" s="1"/>
      <c r="N174" s="1"/>
      <c r="O174" s="1"/>
      <c r="P174" s="1"/>
    </row>
    <row r="175" spans="1:16" ht="13.15" customHeight="1" x14ac:dyDescent="0.25">
      <c r="A175" s="1"/>
      <c r="B175" s="1"/>
      <c r="C175" s="1"/>
      <c r="D175" s="1"/>
      <c r="E175" s="1"/>
      <c r="F175" s="18" t="s">
        <v>697</v>
      </c>
      <c r="G175" s="19" t="s">
        <v>696</v>
      </c>
      <c r="H175" s="18" t="s">
        <v>381</v>
      </c>
      <c r="I175" s="1"/>
      <c r="J175" s="1"/>
      <c r="K175" s="1"/>
      <c r="L175" s="1"/>
      <c r="M175" s="1"/>
      <c r="N175" s="1"/>
      <c r="O175" s="1"/>
      <c r="P175" s="1"/>
    </row>
    <row r="176" spans="1:16" ht="13.15" customHeight="1" x14ac:dyDescent="0.25">
      <c r="A176" s="1"/>
      <c r="B176" s="1"/>
      <c r="C176" s="1"/>
      <c r="D176" s="1"/>
      <c r="E176" s="1"/>
      <c r="F176" s="18" t="s">
        <v>698</v>
      </c>
      <c r="G176" s="19" t="s">
        <v>699</v>
      </c>
      <c r="H176" s="18" t="s">
        <v>381</v>
      </c>
      <c r="I176" s="1"/>
      <c r="J176" s="1"/>
      <c r="K176" s="1"/>
      <c r="L176" s="1"/>
      <c r="M176" s="1"/>
      <c r="N176" s="1"/>
      <c r="O176" s="1"/>
      <c r="P176" s="1"/>
    </row>
    <row r="177" spans="1:16" ht="13.15" customHeight="1" x14ac:dyDescent="0.25">
      <c r="A177" s="1"/>
      <c r="B177" s="1"/>
      <c r="C177" s="1"/>
      <c r="D177" s="1"/>
      <c r="E177" s="1"/>
      <c r="F177" s="18" t="s">
        <v>700</v>
      </c>
      <c r="G177" s="19" t="s">
        <v>701</v>
      </c>
      <c r="H177" s="18" t="s">
        <v>381</v>
      </c>
      <c r="I177" s="1"/>
      <c r="J177" s="1"/>
      <c r="K177" s="1"/>
      <c r="L177" s="1"/>
      <c r="M177" s="1"/>
      <c r="N177" s="1"/>
      <c r="O177" s="1"/>
      <c r="P177" s="1"/>
    </row>
    <row r="178" spans="1:16" ht="13.15" customHeight="1" x14ac:dyDescent="0.25">
      <c r="A178" s="1"/>
      <c r="B178" s="1"/>
      <c r="C178" s="1"/>
      <c r="D178" s="1"/>
      <c r="E178" s="1"/>
      <c r="F178" s="18" t="s">
        <v>702</v>
      </c>
      <c r="G178" s="19" t="s">
        <v>703</v>
      </c>
      <c r="H178" s="18" t="s">
        <v>381</v>
      </c>
      <c r="I178" s="1"/>
      <c r="J178" s="1"/>
      <c r="K178" s="1"/>
      <c r="L178" s="1"/>
      <c r="M178" s="1"/>
      <c r="N178" s="1"/>
      <c r="O178" s="1"/>
      <c r="P178" s="1"/>
    </row>
    <row r="179" spans="1:16" ht="13.15" customHeight="1" x14ac:dyDescent="0.25">
      <c r="A179" s="1"/>
      <c r="B179" s="1"/>
      <c r="C179" s="1"/>
      <c r="D179" s="1"/>
      <c r="E179" s="1"/>
      <c r="F179" s="18" t="s">
        <v>704</v>
      </c>
      <c r="G179" s="19" t="s">
        <v>705</v>
      </c>
      <c r="H179" s="18" t="s">
        <v>381</v>
      </c>
      <c r="I179" s="1"/>
      <c r="J179" s="1"/>
      <c r="K179" s="1"/>
      <c r="L179" s="1"/>
      <c r="M179" s="1"/>
      <c r="N179" s="1"/>
      <c r="O179" s="1"/>
      <c r="P179" s="1"/>
    </row>
    <row r="180" spans="1:16" ht="13.15" customHeight="1" x14ac:dyDescent="0.25">
      <c r="A180" s="1"/>
      <c r="B180" s="1"/>
      <c r="C180" s="1"/>
      <c r="D180" s="1"/>
      <c r="E180" s="1"/>
      <c r="F180" s="18" t="s">
        <v>262</v>
      </c>
      <c r="G180" s="19" t="s">
        <v>705</v>
      </c>
      <c r="H180" s="18" t="s">
        <v>381</v>
      </c>
      <c r="I180" s="1"/>
      <c r="J180" s="1"/>
      <c r="K180" s="1"/>
      <c r="L180" s="1"/>
      <c r="M180" s="1"/>
      <c r="N180" s="1"/>
      <c r="O180" s="1"/>
      <c r="P180" s="1"/>
    </row>
    <row r="181" spans="1:16" ht="13.15" customHeight="1" x14ac:dyDescent="0.25">
      <c r="A181" s="1"/>
      <c r="B181" s="1"/>
      <c r="C181" s="1"/>
      <c r="D181" s="1"/>
      <c r="E181" s="1"/>
      <c r="F181" s="18" t="s">
        <v>706</v>
      </c>
      <c r="G181" s="19" t="s">
        <v>707</v>
      </c>
      <c r="H181" s="18" t="s">
        <v>381</v>
      </c>
      <c r="I181" s="1"/>
      <c r="J181" s="1"/>
      <c r="K181" s="1"/>
      <c r="L181" s="1"/>
      <c r="M181" s="1"/>
      <c r="N181" s="1"/>
      <c r="O181" s="1"/>
      <c r="P181" s="1"/>
    </row>
    <row r="182" spans="1:16" ht="13.15" customHeight="1" x14ac:dyDescent="0.25">
      <c r="A182" s="1"/>
      <c r="B182" s="1"/>
      <c r="C182" s="1"/>
      <c r="D182" s="1"/>
      <c r="E182" s="1"/>
      <c r="F182" s="18" t="s">
        <v>708</v>
      </c>
      <c r="G182" s="19" t="s">
        <v>709</v>
      </c>
      <c r="H182" s="18" t="s">
        <v>381</v>
      </c>
      <c r="I182" s="1"/>
      <c r="J182" s="1"/>
      <c r="K182" s="1"/>
      <c r="L182" s="1"/>
      <c r="M182" s="1"/>
      <c r="N182" s="1"/>
      <c r="O182" s="1"/>
      <c r="P182" s="1"/>
    </row>
    <row r="183" spans="1:16" ht="13.15" customHeight="1" x14ac:dyDescent="0.25">
      <c r="A183" s="1"/>
      <c r="B183" s="1"/>
      <c r="C183" s="1"/>
      <c r="D183" s="1"/>
      <c r="E183" s="1"/>
      <c r="F183" s="18" t="s">
        <v>710</v>
      </c>
      <c r="G183" s="19" t="s">
        <v>605</v>
      </c>
      <c r="H183" s="18" t="s">
        <v>381</v>
      </c>
      <c r="I183" s="1"/>
      <c r="J183" s="1"/>
      <c r="K183" s="1"/>
      <c r="L183" s="1"/>
      <c r="M183" s="1"/>
      <c r="N183" s="1"/>
      <c r="O183" s="1"/>
      <c r="P183" s="1"/>
    </row>
    <row r="184" spans="1:16" ht="13.15" customHeight="1" x14ac:dyDescent="0.25">
      <c r="A184" s="1"/>
      <c r="B184" s="1"/>
      <c r="C184" s="1"/>
      <c r="D184" s="1"/>
      <c r="E184" s="1"/>
      <c r="F184" s="18" t="s">
        <v>711</v>
      </c>
      <c r="G184" s="19" t="s">
        <v>605</v>
      </c>
      <c r="H184" s="18" t="s">
        <v>381</v>
      </c>
      <c r="I184" s="1"/>
      <c r="J184" s="1"/>
      <c r="K184" s="1"/>
      <c r="L184" s="1"/>
      <c r="M184" s="1"/>
      <c r="N184" s="1"/>
      <c r="O184" s="1"/>
      <c r="P184" s="1"/>
    </row>
    <row r="185" spans="1:16" ht="13.15" customHeight="1" x14ac:dyDescent="0.25">
      <c r="A185" s="1"/>
      <c r="B185" s="1"/>
      <c r="C185" s="1"/>
      <c r="D185" s="1"/>
      <c r="E185" s="1"/>
      <c r="F185" s="18" t="s">
        <v>712</v>
      </c>
      <c r="G185" s="19" t="s">
        <v>712</v>
      </c>
      <c r="H185" s="18" t="s">
        <v>381</v>
      </c>
      <c r="I185" s="1"/>
      <c r="J185" s="1"/>
      <c r="K185" s="1"/>
      <c r="L185" s="1"/>
      <c r="M185" s="1"/>
      <c r="N185" s="1"/>
      <c r="O185" s="1"/>
      <c r="P185" s="1"/>
    </row>
    <row r="186" spans="1:16" ht="13.15" customHeight="1" x14ac:dyDescent="0.25">
      <c r="A186" s="1"/>
      <c r="B186" s="1"/>
      <c r="C186" s="1"/>
      <c r="D186" s="1"/>
      <c r="E186" s="1"/>
      <c r="F186" s="18" t="s">
        <v>713</v>
      </c>
      <c r="G186" s="19" t="s">
        <v>714</v>
      </c>
      <c r="H186" s="18" t="s">
        <v>381</v>
      </c>
      <c r="I186" s="1"/>
      <c r="J186" s="1"/>
      <c r="K186" s="1"/>
      <c r="L186" s="1"/>
      <c r="M186" s="1"/>
      <c r="N186" s="1"/>
      <c r="O186" s="1"/>
      <c r="P186" s="1"/>
    </row>
    <row r="187" spans="1:16" ht="13.15" customHeight="1" x14ac:dyDescent="0.25">
      <c r="A187" s="1"/>
      <c r="B187" s="1"/>
      <c r="C187" s="1"/>
      <c r="D187" s="1"/>
      <c r="E187" s="1"/>
      <c r="F187" s="18" t="s">
        <v>715</v>
      </c>
      <c r="G187" s="19" t="s">
        <v>716</v>
      </c>
      <c r="H187" s="18" t="s">
        <v>381</v>
      </c>
      <c r="I187" s="1"/>
      <c r="J187" s="1"/>
      <c r="K187" s="1"/>
      <c r="L187" s="1"/>
      <c r="M187" s="1"/>
      <c r="N187" s="1"/>
      <c r="O187" s="1"/>
      <c r="P187" s="1"/>
    </row>
    <row r="188" spans="1:16" ht="13.15" customHeight="1" x14ac:dyDescent="0.25">
      <c r="A188" s="1"/>
      <c r="B188" s="1"/>
      <c r="C188" s="1"/>
      <c r="D188" s="1"/>
      <c r="E188" s="1"/>
      <c r="F188" s="18" t="s">
        <v>717</v>
      </c>
      <c r="G188" s="19" t="s">
        <v>718</v>
      </c>
      <c r="H188" s="18" t="s">
        <v>381</v>
      </c>
      <c r="I188" s="1"/>
      <c r="J188" s="1"/>
      <c r="K188" s="1"/>
      <c r="L188" s="1"/>
      <c r="M188" s="1"/>
      <c r="N188" s="1"/>
      <c r="O188" s="1"/>
      <c r="P188" s="1"/>
    </row>
    <row r="189" spans="1:16" ht="13.15" customHeight="1" x14ac:dyDescent="0.25">
      <c r="A189" s="1"/>
      <c r="B189" s="1"/>
      <c r="C189" s="1"/>
      <c r="D189" s="1"/>
      <c r="E189" s="1"/>
      <c r="F189" s="18" t="s">
        <v>719</v>
      </c>
      <c r="G189" s="19" t="s">
        <v>720</v>
      </c>
      <c r="H189" s="18" t="s">
        <v>381</v>
      </c>
      <c r="I189" s="1"/>
      <c r="J189" s="1"/>
      <c r="K189" s="1"/>
      <c r="L189" s="1"/>
      <c r="M189" s="1"/>
      <c r="N189" s="1"/>
      <c r="O189" s="1"/>
      <c r="P189" s="1"/>
    </row>
    <row r="190" spans="1:16" ht="13.15" customHeight="1" x14ac:dyDescent="0.25">
      <c r="A190" s="1"/>
      <c r="B190" s="1"/>
      <c r="C190" s="1"/>
      <c r="D190" s="1"/>
      <c r="E190" s="1"/>
      <c r="F190" s="18" t="s">
        <v>721</v>
      </c>
      <c r="G190" s="19" t="s">
        <v>722</v>
      </c>
      <c r="H190" s="18" t="s">
        <v>381</v>
      </c>
      <c r="I190" s="1"/>
      <c r="J190" s="1"/>
      <c r="K190" s="1"/>
      <c r="L190" s="1"/>
      <c r="M190" s="1"/>
      <c r="N190" s="1"/>
      <c r="O190" s="1"/>
      <c r="P190" s="1"/>
    </row>
    <row r="191" spans="1:16" ht="13.15" customHeight="1" x14ac:dyDescent="0.25">
      <c r="A191" s="1"/>
      <c r="B191" s="1"/>
      <c r="C191" s="1"/>
      <c r="D191" s="1"/>
      <c r="E191" s="1"/>
      <c r="F191" s="20" t="s">
        <v>723</v>
      </c>
      <c r="G191" s="20" t="s">
        <v>722</v>
      </c>
      <c r="H191" s="20" t="s">
        <v>381</v>
      </c>
      <c r="I191" s="1"/>
      <c r="J191" s="1"/>
      <c r="K191" s="1"/>
      <c r="L191" s="1"/>
      <c r="M191" s="1"/>
      <c r="N191" s="1"/>
      <c r="O191" s="1"/>
      <c r="P191" s="1"/>
    </row>
    <row r="192" spans="1:16" ht="13.15" customHeight="1" x14ac:dyDescent="0.25">
      <c r="A192" s="1"/>
      <c r="B192" s="1"/>
      <c r="C192" s="1"/>
      <c r="D192" s="1"/>
      <c r="E192" s="1"/>
      <c r="F192" s="20" t="s">
        <v>724</v>
      </c>
      <c r="G192" s="20" t="s">
        <v>725</v>
      </c>
      <c r="H192" s="20" t="s">
        <v>381</v>
      </c>
      <c r="I192" s="1"/>
      <c r="J192" s="1"/>
      <c r="K192" s="1"/>
      <c r="L192" s="1"/>
      <c r="M192" s="1"/>
      <c r="N192" s="1"/>
      <c r="O192" s="1"/>
      <c r="P192" s="1"/>
    </row>
    <row r="193" spans="1:16" ht="13.15" customHeight="1" x14ac:dyDescent="0.25">
      <c r="A193" s="1"/>
      <c r="B193" s="1"/>
      <c r="C193" s="1"/>
      <c r="D193" s="1"/>
      <c r="E193" s="1"/>
      <c r="F193" s="20" t="s">
        <v>726</v>
      </c>
      <c r="G193" s="20" t="s">
        <v>727</v>
      </c>
      <c r="H193" s="20" t="s">
        <v>381</v>
      </c>
      <c r="I193" s="1"/>
      <c r="J193" s="1"/>
      <c r="K193" s="1"/>
      <c r="L193" s="1"/>
      <c r="M193" s="1"/>
      <c r="N193" s="1"/>
      <c r="O193" s="1"/>
      <c r="P193" s="1"/>
    </row>
    <row r="194" spans="1:16" ht="13.15" customHeight="1" x14ac:dyDescent="0.25">
      <c r="A194" s="1"/>
      <c r="B194" s="1"/>
      <c r="C194" s="1"/>
      <c r="D194" s="1"/>
      <c r="E194" s="1"/>
      <c r="F194" s="20" t="s">
        <v>728</v>
      </c>
      <c r="G194" s="20" t="s">
        <v>727</v>
      </c>
      <c r="H194" s="20" t="s">
        <v>381</v>
      </c>
      <c r="I194" s="1"/>
      <c r="J194" s="1"/>
      <c r="K194" s="1"/>
      <c r="L194" s="1"/>
      <c r="M194" s="1"/>
      <c r="N194" s="1"/>
      <c r="O194" s="1"/>
      <c r="P194" s="1"/>
    </row>
    <row r="195" spans="1:16" ht="13.15" customHeight="1" x14ac:dyDescent="0.25">
      <c r="A195" s="1"/>
      <c r="B195" s="1"/>
      <c r="C195" s="1"/>
      <c r="D195" s="1"/>
      <c r="E195" s="1"/>
      <c r="F195" s="20" t="s">
        <v>729</v>
      </c>
      <c r="G195" s="20" t="s">
        <v>730</v>
      </c>
      <c r="H195" s="20" t="s">
        <v>381</v>
      </c>
      <c r="I195" s="1"/>
      <c r="J195" s="1"/>
      <c r="K195" s="1"/>
      <c r="L195" s="1"/>
      <c r="M195" s="1"/>
      <c r="N195" s="1"/>
      <c r="O195" s="1"/>
      <c r="P195" s="1"/>
    </row>
    <row r="196" spans="1:16" ht="13.15" customHeight="1" x14ac:dyDescent="0.25">
      <c r="A196" s="1"/>
      <c r="B196" s="1"/>
      <c r="C196" s="1"/>
      <c r="D196" s="1"/>
      <c r="E196" s="1"/>
      <c r="F196" s="20" t="s">
        <v>731</v>
      </c>
      <c r="G196" s="20" t="s">
        <v>730</v>
      </c>
      <c r="H196" s="20" t="s">
        <v>381</v>
      </c>
      <c r="I196" s="1"/>
      <c r="J196" s="1"/>
      <c r="K196" s="1"/>
      <c r="L196" s="1"/>
      <c r="M196" s="1"/>
      <c r="N196" s="1"/>
      <c r="O196" s="1"/>
      <c r="P196" s="1"/>
    </row>
    <row r="197" spans="1:16" ht="13.15" customHeight="1" x14ac:dyDescent="0.25">
      <c r="A197" s="1"/>
      <c r="B197" s="1"/>
      <c r="C197" s="1"/>
      <c r="D197" s="1"/>
      <c r="E197" s="1"/>
      <c r="F197" s="20" t="s">
        <v>732</v>
      </c>
      <c r="G197" s="20" t="s">
        <v>730</v>
      </c>
      <c r="H197" s="20" t="s">
        <v>381</v>
      </c>
      <c r="I197" s="1"/>
      <c r="J197" s="1"/>
      <c r="K197" s="1"/>
      <c r="L197" s="1"/>
      <c r="M197" s="1"/>
      <c r="N197" s="1"/>
      <c r="O197" s="1"/>
      <c r="P197" s="1"/>
    </row>
    <row r="198" spans="1:16" ht="13.15" customHeight="1" x14ac:dyDescent="0.25">
      <c r="A198" s="1"/>
      <c r="B198" s="1"/>
      <c r="C198" s="1"/>
      <c r="D198" s="1"/>
      <c r="E198" s="1"/>
      <c r="F198" s="20" t="s">
        <v>733</v>
      </c>
      <c r="G198" s="20" t="s">
        <v>734</v>
      </c>
      <c r="H198" s="20" t="s">
        <v>381</v>
      </c>
      <c r="I198" s="1"/>
      <c r="J198" s="1"/>
      <c r="K198" s="1"/>
      <c r="L198" s="1"/>
      <c r="M198" s="1"/>
      <c r="N198" s="1"/>
      <c r="O198" s="1"/>
      <c r="P198" s="1"/>
    </row>
    <row r="199" spans="1:16" ht="13.15" customHeight="1" x14ac:dyDescent="0.25">
      <c r="A199" s="1"/>
      <c r="B199" s="1"/>
      <c r="C199" s="1"/>
      <c r="D199" s="1"/>
      <c r="E199" s="1"/>
      <c r="F199" s="20" t="s">
        <v>264</v>
      </c>
      <c r="G199" s="20" t="s">
        <v>735</v>
      </c>
      <c r="H199" s="20" t="s">
        <v>381</v>
      </c>
      <c r="I199" s="1"/>
      <c r="J199" s="1"/>
      <c r="K199" s="1"/>
      <c r="L199" s="1"/>
      <c r="M199" s="1"/>
      <c r="N199" s="1"/>
      <c r="O199" s="1"/>
      <c r="P199" s="1"/>
    </row>
    <row r="200" spans="1:16" ht="13.15" customHeight="1" x14ac:dyDescent="0.25">
      <c r="A200" s="1"/>
      <c r="B200" s="1"/>
      <c r="C200" s="1"/>
      <c r="D200" s="1"/>
      <c r="E200" s="1"/>
      <c r="F200" s="20" t="s">
        <v>736</v>
      </c>
      <c r="G200" s="20" t="s">
        <v>736</v>
      </c>
      <c r="H200" s="20" t="s">
        <v>381</v>
      </c>
      <c r="I200" s="1"/>
      <c r="J200" s="1"/>
      <c r="K200" s="1"/>
      <c r="L200" s="1"/>
      <c r="M200" s="1"/>
      <c r="N200" s="1"/>
      <c r="O200" s="1"/>
      <c r="P200" s="1"/>
    </row>
    <row r="201" spans="1:16" ht="13.15" customHeight="1" x14ac:dyDescent="0.25">
      <c r="A201" s="1"/>
      <c r="B201" s="1"/>
      <c r="C201" s="1"/>
      <c r="D201" s="1"/>
      <c r="E201" s="1"/>
      <c r="F201" s="20" t="s">
        <v>737</v>
      </c>
      <c r="G201" s="21" t="s">
        <v>738</v>
      </c>
      <c r="H201" s="20" t="s">
        <v>381</v>
      </c>
      <c r="I201" s="1"/>
      <c r="J201" s="1"/>
      <c r="K201" s="1"/>
      <c r="L201" s="1"/>
      <c r="M201" s="1"/>
      <c r="N201" s="1"/>
      <c r="O201" s="1"/>
      <c r="P201" s="1"/>
    </row>
    <row r="202" spans="1:16" ht="13.15" customHeight="1" x14ac:dyDescent="0.25">
      <c r="A202" s="1"/>
      <c r="B202" s="1"/>
      <c r="C202" s="1"/>
      <c r="D202" s="1"/>
      <c r="E202" s="1"/>
      <c r="F202" s="20" t="s">
        <v>739</v>
      </c>
      <c r="G202" s="20" t="s">
        <v>707</v>
      </c>
      <c r="H202" s="20" t="s">
        <v>381</v>
      </c>
      <c r="I202" s="1"/>
      <c r="J202" s="1"/>
      <c r="K202" s="1"/>
      <c r="L202" s="1"/>
      <c r="M202" s="1"/>
      <c r="N202" s="1"/>
      <c r="O202" s="1"/>
      <c r="P202" s="1"/>
    </row>
    <row r="203" spans="1:16" ht="13.15" customHeight="1" x14ac:dyDescent="0.25">
      <c r="A203" s="1"/>
      <c r="B203" s="1"/>
      <c r="C203" s="1"/>
      <c r="D203" s="1"/>
      <c r="E203" s="1"/>
      <c r="F203" s="22" t="s">
        <v>740</v>
      </c>
      <c r="G203" s="22" t="s">
        <v>741</v>
      </c>
      <c r="H203" s="22" t="s">
        <v>742</v>
      </c>
      <c r="I203" s="1"/>
      <c r="J203" s="1"/>
      <c r="K203" s="1"/>
      <c r="L203" s="1"/>
      <c r="M203" s="1"/>
      <c r="N203" s="1"/>
      <c r="O203" s="1"/>
      <c r="P203" s="1"/>
    </row>
    <row r="204" spans="1:16" ht="13.15" customHeight="1" x14ac:dyDescent="0.25">
      <c r="A204" s="1"/>
      <c r="B204" s="1"/>
      <c r="C204" s="1"/>
      <c r="D204" s="1"/>
      <c r="E204" s="1"/>
      <c r="F204" s="22" t="s">
        <v>743</v>
      </c>
      <c r="G204" s="22" t="s">
        <v>741</v>
      </c>
      <c r="H204" s="22" t="s">
        <v>742</v>
      </c>
      <c r="I204" s="1"/>
      <c r="J204" s="1"/>
      <c r="K204" s="1"/>
      <c r="L204" s="1"/>
      <c r="M204" s="1"/>
      <c r="N204" s="1"/>
      <c r="O204" s="1"/>
      <c r="P204" s="1"/>
    </row>
    <row r="205" spans="1:16" ht="13.15" customHeight="1" x14ac:dyDescent="0.25">
      <c r="A205" s="1"/>
      <c r="B205" s="1"/>
      <c r="C205" s="1"/>
      <c r="D205" s="1"/>
      <c r="E205" s="1"/>
      <c r="F205" s="22" t="s">
        <v>744</v>
      </c>
      <c r="G205" s="22" t="s">
        <v>745</v>
      </c>
      <c r="H205" s="22" t="s">
        <v>742</v>
      </c>
      <c r="I205" s="1"/>
      <c r="J205" s="1"/>
      <c r="K205" s="1"/>
      <c r="L205" s="1"/>
      <c r="M205" s="1"/>
      <c r="N205" s="1"/>
      <c r="O205" s="1"/>
      <c r="P205" s="1"/>
    </row>
    <row r="206" spans="1:16" ht="13.15" customHeight="1" x14ac:dyDescent="0.25">
      <c r="A206" s="1"/>
      <c r="B206" s="1"/>
      <c r="C206" s="1"/>
      <c r="D206" s="1"/>
      <c r="E206" s="1"/>
      <c r="F206" s="22" t="s">
        <v>746</v>
      </c>
      <c r="G206" s="22" t="s">
        <v>747</v>
      </c>
      <c r="H206" s="22" t="s">
        <v>742</v>
      </c>
      <c r="I206" s="1"/>
      <c r="J206" s="1"/>
      <c r="K206" s="1"/>
      <c r="L206" s="1"/>
      <c r="M206" s="1"/>
      <c r="N206" s="1"/>
      <c r="O206" s="1"/>
      <c r="P206" s="1"/>
    </row>
    <row r="207" spans="1:16" ht="13.15" customHeight="1" x14ac:dyDescent="0.25">
      <c r="A207" s="1"/>
      <c r="B207" s="1"/>
      <c r="C207" s="1"/>
      <c r="D207" s="1"/>
      <c r="E207" s="1"/>
      <c r="F207" s="22" t="s">
        <v>748</v>
      </c>
      <c r="G207" s="22" t="s">
        <v>749</v>
      </c>
      <c r="H207" s="22" t="s">
        <v>742</v>
      </c>
      <c r="I207" s="1"/>
      <c r="J207" s="1"/>
      <c r="K207" s="1"/>
      <c r="L207" s="1"/>
      <c r="M207" s="1"/>
      <c r="N207" s="1"/>
      <c r="O207" s="1"/>
      <c r="P207" s="1"/>
    </row>
    <row r="208" spans="1:16" ht="13.15" customHeight="1" x14ac:dyDescent="0.25">
      <c r="A208" s="1"/>
      <c r="B208" s="1"/>
      <c r="C208" s="1"/>
      <c r="D208" s="1"/>
      <c r="E208" s="1"/>
      <c r="F208" s="22" t="s">
        <v>750</v>
      </c>
      <c r="G208" s="22" t="s">
        <v>751</v>
      </c>
      <c r="H208" s="22" t="s">
        <v>742</v>
      </c>
      <c r="I208" s="1"/>
      <c r="J208" s="1"/>
      <c r="K208" s="1"/>
      <c r="L208" s="1"/>
      <c r="M208" s="1"/>
      <c r="N208" s="1"/>
      <c r="O208" s="1"/>
      <c r="P208" s="1"/>
    </row>
    <row r="209" spans="1:16" ht="13.15" customHeight="1" x14ac:dyDescent="0.25">
      <c r="A209" s="1"/>
      <c r="B209" s="1"/>
      <c r="C209" s="1"/>
      <c r="D209" s="1"/>
      <c r="E209" s="1"/>
      <c r="F209" s="22" t="s">
        <v>752</v>
      </c>
      <c r="G209" s="22" t="s">
        <v>753</v>
      </c>
      <c r="H209" s="22" t="s">
        <v>742</v>
      </c>
      <c r="I209" s="1"/>
      <c r="J209" s="1"/>
      <c r="K209" s="1"/>
      <c r="L209" s="1"/>
      <c r="M209" s="1"/>
      <c r="N209" s="1"/>
      <c r="O209" s="1"/>
      <c r="P209" s="1"/>
    </row>
    <row r="210" spans="1:16" ht="13.15" customHeight="1" x14ac:dyDescent="0.25">
      <c r="A210" s="1"/>
      <c r="B210" s="1"/>
      <c r="C210" s="1"/>
      <c r="D210" s="1"/>
      <c r="E210" s="1"/>
      <c r="F210" s="22" t="s">
        <v>754</v>
      </c>
      <c r="G210" s="22" t="s">
        <v>753</v>
      </c>
      <c r="H210" s="22" t="s">
        <v>742</v>
      </c>
      <c r="I210" s="1"/>
      <c r="J210" s="1"/>
      <c r="K210" s="1"/>
      <c r="L210" s="1"/>
      <c r="M210" s="1"/>
      <c r="N210" s="1"/>
      <c r="O210" s="1"/>
      <c r="P210" s="1"/>
    </row>
    <row r="211" spans="1:16" ht="13.15" customHeight="1" x14ac:dyDescent="0.25">
      <c r="A211" s="1"/>
      <c r="B211" s="1"/>
      <c r="C211" s="1"/>
      <c r="D211" s="1"/>
      <c r="E211" s="1"/>
      <c r="F211" s="22" t="s">
        <v>755</v>
      </c>
      <c r="G211" s="22" t="s">
        <v>756</v>
      </c>
      <c r="H211" s="22" t="s">
        <v>742</v>
      </c>
      <c r="I211" s="1"/>
      <c r="J211" s="1"/>
      <c r="K211" s="1"/>
      <c r="L211" s="1"/>
      <c r="M211" s="1"/>
      <c r="N211" s="1"/>
      <c r="O211" s="1"/>
      <c r="P211" s="1"/>
    </row>
    <row r="212" spans="1:16" ht="13.15" customHeight="1" x14ac:dyDescent="0.25">
      <c r="A212" s="1"/>
      <c r="B212" s="1"/>
      <c r="C212" s="1"/>
      <c r="D212" s="1"/>
      <c r="E212" s="1"/>
      <c r="F212" s="22" t="s">
        <v>757</v>
      </c>
      <c r="G212" s="22" t="s">
        <v>756</v>
      </c>
      <c r="H212" s="22" t="s">
        <v>742</v>
      </c>
      <c r="I212" s="1"/>
      <c r="J212" s="1"/>
      <c r="K212" s="1"/>
      <c r="L212" s="1"/>
      <c r="M212" s="1"/>
      <c r="N212" s="1"/>
      <c r="O212" s="1"/>
      <c r="P212" s="1"/>
    </row>
    <row r="213" spans="1:16" ht="13.15" customHeight="1" x14ac:dyDescent="0.25">
      <c r="A213" s="1"/>
      <c r="B213" s="1"/>
      <c r="C213" s="1"/>
      <c r="D213" s="1"/>
      <c r="E213" s="1"/>
      <c r="F213" s="22" t="s">
        <v>758</v>
      </c>
      <c r="G213" s="22" t="s">
        <v>759</v>
      </c>
      <c r="H213" s="22" t="s">
        <v>742</v>
      </c>
      <c r="I213" s="1"/>
      <c r="J213" s="1"/>
      <c r="K213" s="1"/>
      <c r="L213" s="1"/>
      <c r="M213" s="1"/>
      <c r="N213" s="1"/>
      <c r="O213" s="1"/>
      <c r="P213" s="1"/>
    </row>
    <row r="214" spans="1:16" ht="13.15" customHeight="1" x14ac:dyDescent="0.25">
      <c r="A214" s="1"/>
      <c r="B214" s="1"/>
      <c r="C214" s="1"/>
      <c r="D214" s="1"/>
      <c r="E214" s="1"/>
      <c r="F214" s="22" t="s">
        <v>760</v>
      </c>
      <c r="G214" s="22" t="s">
        <v>761</v>
      </c>
      <c r="H214" s="22" t="s">
        <v>742</v>
      </c>
      <c r="I214" s="1"/>
      <c r="J214" s="1"/>
      <c r="K214" s="1"/>
      <c r="L214" s="1"/>
      <c r="M214" s="1"/>
      <c r="N214" s="1"/>
      <c r="O214" s="1"/>
      <c r="P214" s="1"/>
    </row>
    <row r="215" spans="1:16" ht="13.15" customHeight="1" x14ac:dyDescent="0.25">
      <c r="A215" s="1"/>
      <c r="B215" s="1"/>
      <c r="C215" s="1"/>
      <c r="D215" s="1"/>
      <c r="E215" s="1"/>
      <c r="F215" s="22" t="s">
        <v>762</v>
      </c>
      <c r="G215" s="22" t="s">
        <v>761</v>
      </c>
      <c r="H215" s="22" t="s">
        <v>742</v>
      </c>
      <c r="I215" s="1"/>
      <c r="J215" s="1"/>
      <c r="K215" s="1"/>
      <c r="L215" s="1"/>
      <c r="M215" s="1"/>
      <c r="N215" s="1"/>
      <c r="O215" s="1"/>
      <c r="P215" s="1"/>
    </row>
    <row r="216" spans="1:16" ht="13.15" customHeight="1" x14ac:dyDescent="0.25">
      <c r="A216" s="1"/>
      <c r="B216" s="1"/>
      <c r="C216" s="1"/>
      <c r="D216" s="1"/>
      <c r="E216" s="1"/>
      <c r="F216" s="22" t="s">
        <v>763</v>
      </c>
      <c r="G216" s="22" t="s">
        <v>761</v>
      </c>
      <c r="H216" s="22" t="s">
        <v>742</v>
      </c>
      <c r="I216" s="1"/>
      <c r="J216" s="1"/>
      <c r="K216" s="1"/>
      <c r="L216" s="1"/>
      <c r="M216" s="1"/>
      <c r="N216" s="1"/>
      <c r="O216" s="1"/>
      <c r="P216" s="1"/>
    </row>
    <row r="217" spans="1:16" ht="13.15" customHeight="1" x14ac:dyDescent="0.25">
      <c r="A217" s="1"/>
      <c r="B217" s="1"/>
      <c r="C217" s="1"/>
      <c r="D217" s="1"/>
      <c r="E217" s="1"/>
      <c r="F217" s="22" t="s">
        <v>764</v>
      </c>
      <c r="G217" s="22" t="s">
        <v>765</v>
      </c>
      <c r="H217" s="22" t="s">
        <v>742</v>
      </c>
      <c r="I217" s="1"/>
      <c r="J217" s="1"/>
      <c r="K217" s="1"/>
      <c r="L217" s="1"/>
      <c r="M217" s="1"/>
      <c r="N217" s="1"/>
      <c r="O217" s="1"/>
      <c r="P217" s="1"/>
    </row>
    <row r="218" spans="1:16" ht="13.15" customHeight="1" x14ac:dyDescent="0.25">
      <c r="A218" s="1"/>
      <c r="B218" s="1"/>
      <c r="C218" s="1"/>
      <c r="D218" s="1"/>
      <c r="E218" s="1"/>
      <c r="F218" s="22" t="s">
        <v>766</v>
      </c>
      <c r="G218" s="22" t="s">
        <v>680</v>
      </c>
      <c r="H218" s="22" t="s">
        <v>742</v>
      </c>
      <c r="I218" s="1"/>
      <c r="J218" s="1"/>
      <c r="K218" s="1"/>
      <c r="L218" s="1"/>
      <c r="M218" s="1"/>
      <c r="N218" s="1"/>
      <c r="O218" s="1"/>
      <c r="P218" s="1"/>
    </row>
    <row r="219" spans="1:16" ht="13.15" customHeight="1" x14ac:dyDescent="0.25">
      <c r="A219" s="1"/>
      <c r="B219" s="1"/>
      <c r="C219" s="1"/>
      <c r="D219" s="1"/>
      <c r="E219" s="1"/>
      <c r="F219" s="22" t="s">
        <v>767</v>
      </c>
      <c r="G219" s="22" t="s">
        <v>768</v>
      </c>
      <c r="H219" s="22" t="s">
        <v>742</v>
      </c>
      <c r="I219" s="1"/>
      <c r="J219" s="1"/>
      <c r="K219" s="1"/>
      <c r="L219" s="1"/>
      <c r="M219" s="1"/>
      <c r="N219" s="1"/>
      <c r="O219" s="1"/>
      <c r="P219" s="1"/>
    </row>
    <row r="220" spans="1:16" ht="13.15" customHeight="1" x14ac:dyDescent="0.25">
      <c r="A220" s="1"/>
      <c r="B220" s="1"/>
      <c r="C220" s="1"/>
      <c r="D220" s="1"/>
      <c r="E220" s="1"/>
      <c r="F220" s="22" t="s">
        <v>769</v>
      </c>
      <c r="G220" s="22" t="s">
        <v>770</v>
      </c>
      <c r="H220" s="22" t="s">
        <v>742</v>
      </c>
      <c r="I220" s="1"/>
      <c r="J220" s="1"/>
      <c r="K220" s="1"/>
      <c r="L220" s="1"/>
      <c r="M220" s="1"/>
      <c r="N220" s="1"/>
      <c r="O220" s="1"/>
      <c r="P220" s="1"/>
    </row>
    <row r="221" spans="1:16" ht="13.15" customHeight="1" x14ac:dyDescent="0.25">
      <c r="A221" s="1"/>
      <c r="B221" s="1"/>
      <c r="C221" s="1"/>
      <c r="D221" s="1"/>
      <c r="E221" s="1"/>
      <c r="F221" s="22" t="s">
        <v>771</v>
      </c>
      <c r="G221" s="22" t="s">
        <v>772</v>
      </c>
      <c r="H221" s="22" t="s">
        <v>742</v>
      </c>
      <c r="I221" s="1"/>
      <c r="J221" s="1"/>
      <c r="K221" s="1"/>
      <c r="L221" s="1"/>
      <c r="M221" s="1"/>
      <c r="N221" s="1"/>
      <c r="O221" s="1"/>
      <c r="P221" s="1"/>
    </row>
    <row r="222" spans="1:16" ht="13.15" customHeight="1" x14ac:dyDescent="0.25">
      <c r="A222" s="1"/>
      <c r="B222" s="1"/>
      <c r="C222" s="1"/>
      <c r="D222" s="1"/>
      <c r="E222" s="1"/>
      <c r="F222" s="22" t="s">
        <v>773</v>
      </c>
      <c r="G222" s="22" t="s">
        <v>774</v>
      </c>
      <c r="H222" s="22" t="s">
        <v>742</v>
      </c>
      <c r="I222" s="1"/>
      <c r="J222" s="1"/>
      <c r="K222" s="1"/>
      <c r="L222" s="1"/>
      <c r="M222" s="1"/>
      <c r="N222" s="1"/>
      <c r="O222" s="1"/>
      <c r="P222" s="1"/>
    </row>
    <row r="223" spans="1:16" ht="13.15" customHeight="1" x14ac:dyDescent="0.25">
      <c r="A223" s="1"/>
      <c r="B223" s="1"/>
      <c r="C223" s="1"/>
      <c r="D223" s="1"/>
      <c r="E223" s="1"/>
      <c r="F223" s="22" t="s">
        <v>775</v>
      </c>
      <c r="G223" s="22" t="s">
        <v>776</v>
      </c>
      <c r="H223" s="22" t="s">
        <v>742</v>
      </c>
      <c r="I223" s="1"/>
      <c r="J223" s="1"/>
      <c r="K223" s="1"/>
      <c r="L223" s="1"/>
      <c r="M223" s="1"/>
      <c r="N223" s="1"/>
      <c r="O223" s="1"/>
      <c r="P223" s="1"/>
    </row>
    <row r="224" spans="1:16" ht="13.15" customHeight="1" x14ac:dyDescent="0.25">
      <c r="A224" s="1"/>
      <c r="B224" s="1"/>
      <c r="C224" s="1"/>
      <c r="D224" s="1"/>
      <c r="E224" s="1"/>
      <c r="F224" s="22" t="s">
        <v>777</v>
      </c>
      <c r="G224" s="22" t="s">
        <v>778</v>
      </c>
      <c r="H224" s="22" t="s">
        <v>742</v>
      </c>
      <c r="I224" s="1"/>
      <c r="J224" s="1"/>
      <c r="K224" s="1"/>
      <c r="L224" s="1"/>
      <c r="M224" s="1"/>
      <c r="N224" s="1"/>
      <c r="O224" s="1"/>
      <c r="P224" s="1"/>
    </row>
    <row r="225" spans="1:16" ht="13.15" customHeight="1" x14ac:dyDescent="0.25">
      <c r="A225" s="1"/>
      <c r="B225" s="1"/>
      <c r="C225" s="1"/>
      <c r="D225" s="1"/>
      <c r="E225" s="1"/>
      <c r="F225" s="22" t="s">
        <v>779</v>
      </c>
      <c r="G225" s="22" t="s">
        <v>780</v>
      </c>
      <c r="H225" s="22" t="s">
        <v>742</v>
      </c>
      <c r="I225" s="1"/>
      <c r="J225" s="1"/>
      <c r="K225" s="1"/>
      <c r="L225" s="1"/>
      <c r="M225" s="1"/>
      <c r="N225" s="1"/>
      <c r="O225" s="1"/>
      <c r="P225" s="1"/>
    </row>
    <row r="226" spans="1:16" ht="13.15" customHeight="1" x14ac:dyDescent="0.25">
      <c r="A226" s="1"/>
      <c r="B226" s="1"/>
      <c r="C226" s="1"/>
      <c r="D226" s="1"/>
      <c r="E226" s="1"/>
      <c r="F226" s="22" t="s">
        <v>781</v>
      </c>
      <c r="G226" s="22" t="s">
        <v>780</v>
      </c>
      <c r="H226" s="22" t="s">
        <v>742</v>
      </c>
      <c r="I226" s="1"/>
      <c r="J226" s="1"/>
      <c r="K226" s="1"/>
      <c r="L226" s="1"/>
      <c r="M226" s="1"/>
      <c r="N226" s="1"/>
      <c r="O226" s="1"/>
      <c r="P226" s="1"/>
    </row>
    <row r="227" spans="1:16" ht="13.15" customHeight="1" x14ac:dyDescent="0.25">
      <c r="A227" s="1"/>
      <c r="B227" s="1"/>
      <c r="C227" s="1"/>
      <c r="D227" s="1"/>
      <c r="E227" s="1"/>
      <c r="F227" s="22" t="s">
        <v>782</v>
      </c>
      <c r="G227" s="22" t="s">
        <v>783</v>
      </c>
      <c r="H227" s="22" t="s">
        <v>742</v>
      </c>
      <c r="I227" s="1"/>
      <c r="J227" s="1"/>
      <c r="K227" s="1"/>
      <c r="L227" s="1"/>
      <c r="M227" s="1"/>
      <c r="N227" s="1"/>
      <c r="O227" s="1"/>
      <c r="P227" s="1"/>
    </row>
    <row r="228" spans="1:16" ht="13.15" customHeight="1" x14ac:dyDescent="0.25">
      <c r="A228" s="1"/>
      <c r="B228" s="1"/>
      <c r="C228" s="1"/>
      <c r="D228" s="1"/>
      <c r="E228" s="1"/>
      <c r="F228" s="22" t="s">
        <v>784</v>
      </c>
      <c r="G228" s="22" t="s">
        <v>785</v>
      </c>
      <c r="H228" s="22" t="s">
        <v>742</v>
      </c>
      <c r="I228" s="1"/>
      <c r="J228" s="1"/>
      <c r="K228" s="1"/>
      <c r="L228" s="1"/>
      <c r="M228" s="1"/>
      <c r="N228" s="1"/>
      <c r="O228" s="1"/>
      <c r="P228" s="1"/>
    </row>
    <row r="229" spans="1:16" ht="13.15" customHeight="1" x14ac:dyDescent="0.25">
      <c r="A229" s="1"/>
      <c r="B229" s="1"/>
      <c r="C229" s="1"/>
      <c r="D229" s="1"/>
      <c r="E229" s="1"/>
      <c r="F229" s="22" t="s">
        <v>786</v>
      </c>
      <c r="G229" s="22" t="s">
        <v>785</v>
      </c>
      <c r="H229" s="22" t="s">
        <v>742</v>
      </c>
      <c r="I229" s="1"/>
      <c r="J229" s="1"/>
      <c r="K229" s="1"/>
      <c r="L229" s="1"/>
      <c r="M229" s="1"/>
      <c r="N229" s="1"/>
      <c r="O229" s="1"/>
      <c r="P229" s="1"/>
    </row>
    <row r="230" spans="1:16" ht="13.15" customHeight="1" x14ac:dyDescent="0.25">
      <c r="A230" s="1"/>
      <c r="B230" s="1"/>
      <c r="C230" s="1"/>
      <c r="D230" s="1"/>
      <c r="E230" s="1"/>
      <c r="F230" s="22" t="s">
        <v>787</v>
      </c>
      <c r="G230" s="22" t="s">
        <v>785</v>
      </c>
      <c r="H230" s="22" t="s">
        <v>742</v>
      </c>
      <c r="I230" s="1"/>
      <c r="J230" s="1"/>
      <c r="K230" s="1"/>
      <c r="L230" s="1"/>
      <c r="M230" s="1"/>
      <c r="N230" s="1"/>
      <c r="O230" s="1"/>
      <c r="P230" s="1"/>
    </row>
    <row r="231" spans="1:16" ht="13.15" customHeight="1" x14ac:dyDescent="0.25">
      <c r="A231" s="1"/>
      <c r="B231" s="1"/>
      <c r="C231" s="1"/>
      <c r="D231" s="1"/>
      <c r="E231" s="1"/>
      <c r="F231" s="22" t="s">
        <v>788</v>
      </c>
      <c r="G231" s="22" t="s">
        <v>785</v>
      </c>
      <c r="H231" s="22" t="s">
        <v>742</v>
      </c>
      <c r="I231" s="1"/>
      <c r="J231" s="1"/>
      <c r="K231" s="1"/>
      <c r="L231" s="1"/>
      <c r="M231" s="1"/>
      <c r="N231" s="1"/>
      <c r="O231" s="1"/>
      <c r="P231" s="1"/>
    </row>
    <row r="232" spans="1:16" ht="13.15" customHeight="1" x14ac:dyDescent="0.25">
      <c r="A232" s="1"/>
      <c r="B232" s="1"/>
      <c r="C232" s="1"/>
      <c r="D232" s="1"/>
      <c r="E232" s="1"/>
      <c r="F232" s="22" t="s">
        <v>789</v>
      </c>
      <c r="G232" s="22" t="s">
        <v>790</v>
      </c>
      <c r="H232" s="22" t="s">
        <v>742</v>
      </c>
      <c r="I232" s="1"/>
      <c r="J232" s="1"/>
      <c r="K232" s="1"/>
      <c r="L232" s="1"/>
      <c r="M232" s="1"/>
      <c r="N232" s="1"/>
      <c r="O232" s="1"/>
      <c r="P232" s="1"/>
    </row>
    <row r="233" spans="1:16" ht="13.15" customHeight="1" x14ac:dyDescent="0.25">
      <c r="A233" s="1"/>
      <c r="B233" s="1"/>
      <c r="C233" s="1"/>
      <c r="D233" s="1"/>
      <c r="E233" s="1"/>
      <c r="F233" s="22" t="s">
        <v>791</v>
      </c>
      <c r="G233" s="22" t="s">
        <v>792</v>
      </c>
      <c r="H233" s="22" t="s">
        <v>742</v>
      </c>
      <c r="I233" s="1"/>
      <c r="J233" s="1"/>
      <c r="K233" s="1"/>
      <c r="L233" s="1"/>
      <c r="M233" s="1"/>
      <c r="N233" s="1"/>
      <c r="O233" s="1"/>
      <c r="P233" s="1"/>
    </row>
    <row r="234" spans="1:16" ht="13.15" customHeight="1" x14ac:dyDescent="0.25">
      <c r="A234" s="1"/>
      <c r="B234" s="1"/>
      <c r="C234" s="1"/>
      <c r="D234" s="1"/>
      <c r="E234" s="1"/>
      <c r="F234" s="22" t="s">
        <v>793</v>
      </c>
      <c r="G234" s="22" t="s">
        <v>792</v>
      </c>
      <c r="H234" s="22" t="s">
        <v>742</v>
      </c>
      <c r="I234" s="1"/>
      <c r="J234" s="1"/>
      <c r="K234" s="1"/>
      <c r="L234" s="1"/>
      <c r="M234" s="1"/>
      <c r="N234" s="1"/>
      <c r="O234" s="1"/>
      <c r="P234" s="1"/>
    </row>
    <row r="235" spans="1:16" ht="13.15" customHeight="1" x14ac:dyDescent="0.25">
      <c r="A235" s="1"/>
      <c r="B235" s="1"/>
      <c r="C235" s="1"/>
      <c r="D235" s="1"/>
      <c r="E235" s="1"/>
      <c r="F235" s="22" t="s">
        <v>794</v>
      </c>
      <c r="G235" s="22" t="s">
        <v>792</v>
      </c>
      <c r="H235" s="22" t="s">
        <v>742</v>
      </c>
      <c r="I235" s="1"/>
      <c r="J235" s="1"/>
      <c r="K235" s="1"/>
      <c r="L235" s="1"/>
      <c r="M235" s="1"/>
      <c r="N235" s="1"/>
      <c r="O235" s="1"/>
      <c r="P235" s="1"/>
    </row>
    <row r="236" spans="1:16" ht="13.15" customHeight="1" x14ac:dyDescent="0.25">
      <c r="A236" s="1"/>
      <c r="B236" s="1"/>
      <c r="C236" s="1"/>
      <c r="D236" s="1"/>
      <c r="E236" s="1"/>
      <c r="F236" s="22" t="s">
        <v>795</v>
      </c>
      <c r="G236" s="22" t="s">
        <v>796</v>
      </c>
      <c r="H236" s="22" t="s">
        <v>742</v>
      </c>
      <c r="I236" s="1"/>
      <c r="J236" s="1"/>
      <c r="K236" s="1"/>
      <c r="L236" s="1"/>
      <c r="M236" s="1"/>
      <c r="N236" s="1"/>
      <c r="O236" s="1"/>
      <c r="P236" s="1"/>
    </row>
    <row r="237" spans="1:16" ht="13.15" customHeight="1" x14ac:dyDescent="0.25">
      <c r="A237" s="1"/>
      <c r="B237" s="1"/>
      <c r="C237" s="1"/>
      <c r="D237" s="1"/>
      <c r="E237" s="1"/>
      <c r="F237" s="22" t="s">
        <v>797</v>
      </c>
      <c r="G237" s="22" t="s">
        <v>798</v>
      </c>
      <c r="H237" s="22" t="s">
        <v>742</v>
      </c>
      <c r="I237" s="1"/>
      <c r="J237" s="1"/>
      <c r="K237" s="1"/>
      <c r="L237" s="1"/>
      <c r="M237" s="1"/>
      <c r="N237" s="1"/>
      <c r="O237" s="1"/>
      <c r="P237" s="1"/>
    </row>
    <row r="238" spans="1:16" ht="13.15" customHeight="1" x14ac:dyDescent="0.25">
      <c r="A238" s="1"/>
      <c r="B238" s="1"/>
      <c r="C238" s="1"/>
      <c r="D238" s="1"/>
      <c r="E238" s="1"/>
      <c r="F238" s="22" t="s">
        <v>799</v>
      </c>
      <c r="G238" s="22" t="s">
        <v>800</v>
      </c>
      <c r="H238" s="22" t="s">
        <v>742</v>
      </c>
      <c r="I238" s="1"/>
      <c r="J238" s="1"/>
      <c r="K238" s="1"/>
      <c r="L238" s="1"/>
      <c r="M238" s="1"/>
      <c r="N238" s="1"/>
      <c r="O238" s="1"/>
      <c r="P238" s="1"/>
    </row>
    <row r="239" spans="1:16" ht="13.15" customHeight="1" x14ac:dyDescent="0.25">
      <c r="A239" s="1"/>
      <c r="B239" s="1"/>
      <c r="C239" s="1"/>
      <c r="D239" s="1"/>
      <c r="E239" s="1"/>
      <c r="F239" s="22" t="s">
        <v>801</v>
      </c>
      <c r="G239" s="22" t="s">
        <v>802</v>
      </c>
      <c r="H239" s="22" t="s">
        <v>742</v>
      </c>
      <c r="I239" s="1"/>
      <c r="J239" s="1"/>
      <c r="K239" s="1"/>
      <c r="L239" s="1"/>
      <c r="M239" s="1"/>
      <c r="N239" s="1"/>
      <c r="O239" s="1"/>
      <c r="P239" s="1"/>
    </row>
    <row r="240" spans="1:16" ht="13.15" customHeight="1" x14ac:dyDescent="0.25">
      <c r="A240" s="1"/>
      <c r="B240" s="1"/>
      <c r="C240" s="1"/>
      <c r="D240" s="1"/>
      <c r="E240" s="1"/>
      <c r="F240" s="22" t="s">
        <v>803</v>
      </c>
      <c r="G240" s="22" t="s">
        <v>804</v>
      </c>
      <c r="H240" s="22" t="s">
        <v>742</v>
      </c>
      <c r="I240" s="1"/>
      <c r="J240" s="1"/>
      <c r="K240" s="1"/>
      <c r="L240" s="1"/>
      <c r="M240" s="1"/>
      <c r="N240" s="1"/>
      <c r="O240" s="1"/>
      <c r="P240" s="1"/>
    </row>
    <row r="241" spans="1:16" ht="13.15" customHeight="1" x14ac:dyDescent="0.25">
      <c r="A241" s="1"/>
      <c r="B241" s="1"/>
      <c r="C241" s="1"/>
      <c r="D241" s="1"/>
      <c r="E241" s="1"/>
      <c r="F241" s="22" t="s">
        <v>805</v>
      </c>
      <c r="G241" s="22" t="s">
        <v>804</v>
      </c>
      <c r="H241" s="22" t="s">
        <v>742</v>
      </c>
      <c r="I241" s="1"/>
      <c r="J241" s="1"/>
      <c r="K241" s="1"/>
      <c r="L241" s="1"/>
      <c r="M241" s="1"/>
      <c r="N241" s="1"/>
      <c r="O241" s="1"/>
      <c r="P241" s="1"/>
    </row>
    <row r="242" spans="1:16" ht="13.15" customHeight="1" x14ac:dyDescent="0.25">
      <c r="A242" s="1"/>
      <c r="B242" s="1"/>
      <c r="C242" s="1"/>
      <c r="D242" s="1"/>
      <c r="E242" s="1"/>
      <c r="F242" s="22" t="s">
        <v>806</v>
      </c>
      <c r="G242" s="22" t="s">
        <v>807</v>
      </c>
      <c r="H242" s="22" t="s">
        <v>742</v>
      </c>
      <c r="I242" s="1"/>
      <c r="J242" s="1"/>
      <c r="K242" s="1"/>
      <c r="L242" s="1"/>
      <c r="M242" s="1"/>
      <c r="N242" s="1"/>
      <c r="O242" s="1"/>
      <c r="P242" s="1"/>
    </row>
    <row r="243" spans="1:16" ht="13.15" customHeight="1" x14ac:dyDescent="0.25">
      <c r="A243" s="1"/>
      <c r="B243" s="1"/>
      <c r="C243" s="1"/>
      <c r="D243" s="1"/>
      <c r="E243" s="1"/>
      <c r="F243" s="22" t="s">
        <v>808</v>
      </c>
      <c r="G243" s="22" t="s">
        <v>809</v>
      </c>
      <c r="H243" s="22" t="s">
        <v>742</v>
      </c>
      <c r="I243" s="1"/>
      <c r="J243" s="1"/>
      <c r="K243" s="1"/>
      <c r="L243" s="1"/>
      <c r="M243" s="1"/>
      <c r="N243" s="1"/>
      <c r="O243" s="1"/>
      <c r="P243" s="1"/>
    </row>
    <row r="244" spans="1:16" ht="13.15" customHeight="1" x14ac:dyDescent="0.25">
      <c r="A244" s="1"/>
      <c r="B244" s="1"/>
      <c r="C244" s="1"/>
      <c r="D244" s="1"/>
      <c r="E244" s="1"/>
      <c r="F244" s="23" t="s">
        <v>810</v>
      </c>
      <c r="G244" s="23" t="s">
        <v>811</v>
      </c>
      <c r="H244" s="23" t="s">
        <v>394</v>
      </c>
      <c r="I244" s="1"/>
      <c r="J244" s="1"/>
      <c r="K244" s="1"/>
      <c r="L244" s="1"/>
      <c r="M244" s="1"/>
      <c r="N244" s="1"/>
      <c r="O244" s="1"/>
      <c r="P244" s="1"/>
    </row>
    <row r="245" spans="1:16" ht="13.15" customHeight="1" x14ac:dyDescent="0.25">
      <c r="A245" s="1"/>
      <c r="B245" s="1"/>
      <c r="C245" s="1"/>
      <c r="D245" s="1"/>
      <c r="E245" s="1"/>
      <c r="F245" s="23" t="s">
        <v>812</v>
      </c>
      <c r="G245" s="23" t="s">
        <v>813</v>
      </c>
      <c r="H245" s="23" t="s">
        <v>394</v>
      </c>
      <c r="I245" s="1"/>
      <c r="J245" s="1"/>
      <c r="K245" s="1"/>
      <c r="L245" s="1"/>
      <c r="M245" s="1"/>
      <c r="N245" s="1"/>
      <c r="O245" s="1"/>
      <c r="P245" s="1"/>
    </row>
    <row r="246" spans="1:16" ht="13.15" customHeight="1" x14ac:dyDescent="0.25">
      <c r="A246" s="1"/>
      <c r="B246" s="1"/>
      <c r="C246" s="1"/>
      <c r="D246" s="1"/>
      <c r="E246" s="1"/>
      <c r="F246" s="23" t="s">
        <v>814</v>
      </c>
      <c r="G246" s="23" t="s">
        <v>815</v>
      </c>
      <c r="H246" s="23" t="s">
        <v>394</v>
      </c>
      <c r="I246" s="1"/>
      <c r="J246" s="1"/>
      <c r="K246" s="1"/>
      <c r="L246" s="1"/>
      <c r="M246" s="1"/>
      <c r="N246" s="1"/>
      <c r="O246" s="1"/>
      <c r="P246" s="1"/>
    </row>
    <row r="247" spans="1:16" ht="13.15" customHeight="1" x14ac:dyDescent="0.25">
      <c r="A247" s="1"/>
      <c r="B247" s="1"/>
      <c r="C247" s="1"/>
      <c r="D247" s="1"/>
      <c r="E247" s="1"/>
      <c r="F247" s="23" t="s">
        <v>816</v>
      </c>
      <c r="G247" s="23" t="s">
        <v>816</v>
      </c>
      <c r="H247" s="23" t="s">
        <v>394</v>
      </c>
      <c r="I247" s="1"/>
      <c r="J247" s="1"/>
      <c r="K247" s="1"/>
      <c r="L247" s="1"/>
      <c r="M247" s="1"/>
      <c r="N247" s="1"/>
      <c r="O247" s="1"/>
      <c r="P247" s="1"/>
    </row>
    <row r="248" spans="1:16" ht="13.15" customHeight="1" x14ac:dyDescent="0.25">
      <c r="A248" s="1"/>
      <c r="B248" s="1"/>
      <c r="C248" s="1"/>
      <c r="D248" s="1"/>
      <c r="E248" s="1"/>
      <c r="F248" s="23" t="s">
        <v>817</v>
      </c>
      <c r="G248" s="23" t="s">
        <v>818</v>
      </c>
      <c r="H248" s="23" t="s">
        <v>394</v>
      </c>
      <c r="I248" s="1"/>
      <c r="J248" s="1"/>
      <c r="K248" s="1"/>
      <c r="L248" s="1"/>
      <c r="M248" s="1"/>
      <c r="N248" s="1"/>
      <c r="O248" s="1"/>
      <c r="P248" s="1"/>
    </row>
    <row r="249" spans="1:16" ht="13.15" customHeight="1" x14ac:dyDescent="0.25">
      <c r="A249" s="1"/>
      <c r="B249" s="1"/>
      <c r="C249" s="1"/>
      <c r="D249" s="1"/>
      <c r="E249" s="1"/>
      <c r="F249" s="23" t="s">
        <v>819</v>
      </c>
      <c r="G249" s="23" t="s">
        <v>818</v>
      </c>
      <c r="H249" s="23" t="s">
        <v>394</v>
      </c>
      <c r="I249" s="1"/>
      <c r="J249" s="1"/>
      <c r="K249" s="1"/>
      <c r="L249" s="1"/>
      <c r="M249" s="1"/>
      <c r="N249" s="1"/>
      <c r="O249" s="1"/>
      <c r="P249" s="1"/>
    </row>
    <row r="250" spans="1:16" ht="13.15" customHeight="1" x14ac:dyDescent="0.25">
      <c r="A250" s="1"/>
      <c r="B250" s="1"/>
      <c r="C250" s="1"/>
      <c r="D250" s="1"/>
      <c r="E250" s="1"/>
      <c r="F250" s="23" t="s">
        <v>820</v>
      </c>
      <c r="G250" s="23" t="s">
        <v>821</v>
      </c>
      <c r="H250" s="23" t="s">
        <v>394</v>
      </c>
      <c r="I250" s="1"/>
      <c r="J250" s="1"/>
      <c r="K250" s="1"/>
      <c r="L250" s="1"/>
      <c r="M250" s="1"/>
      <c r="N250" s="1"/>
      <c r="O250" s="1"/>
      <c r="P250" s="1"/>
    </row>
    <row r="251" spans="1:16" ht="13.15" customHeight="1" x14ac:dyDescent="0.25">
      <c r="A251" s="1"/>
      <c r="B251" s="1"/>
      <c r="C251" s="1"/>
      <c r="D251" s="1"/>
      <c r="E251" s="1"/>
      <c r="F251" s="23" t="s">
        <v>822</v>
      </c>
      <c r="G251" s="23" t="s">
        <v>823</v>
      </c>
      <c r="H251" s="23" t="s">
        <v>394</v>
      </c>
      <c r="I251" s="1"/>
      <c r="J251" s="1"/>
      <c r="K251" s="1"/>
      <c r="L251" s="1"/>
      <c r="M251" s="1"/>
      <c r="N251" s="1"/>
      <c r="O251" s="1"/>
      <c r="P251" s="1"/>
    </row>
    <row r="252" spans="1:16" ht="13.15" customHeight="1" x14ac:dyDescent="0.25">
      <c r="A252" s="1"/>
      <c r="B252" s="1"/>
      <c r="C252" s="1"/>
      <c r="D252" s="1"/>
      <c r="E252" s="1"/>
      <c r="F252" s="23" t="s">
        <v>824</v>
      </c>
      <c r="G252" s="23" t="s">
        <v>825</v>
      </c>
      <c r="H252" s="23" t="s">
        <v>394</v>
      </c>
      <c r="I252" s="1"/>
      <c r="J252" s="1"/>
      <c r="K252" s="1"/>
      <c r="L252" s="1"/>
      <c r="M252" s="1"/>
      <c r="N252" s="1"/>
      <c r="O252" s="1"/>
      <c r="P252" s="1"/>
    </row>
    <row r="253" spans="1:16" ht="13.15" customHeight="1" x14ac:dyDescent="0.25">
      <c r="A253" s="1"/>
      <c r="B253" s="1"/>
      <c r="C253" s="1"/>
      <c r="D253" s="1"/>
      <c r="E253" s="1"/>
      <c r="F253" s="23" t="s">
        <v>826</v>
      </c>
      <c r="G253" s="23" t="s">
        <v>825</v>
      </c>
      <c r="H253" s="23" t="s">
        <v>394</v>
      </c>
      <c r="I253" s="1"/>
      <c r="J253" s="1"/>
      <c r="K253" s="1"/>
      <c r="L253" s="1"/>
      <c r="M253" s="1"/>
      <c r="N253" s="1"/>
      <c r="O253" s="1"/>
      <c r="P253" s="1"/>
    </row>
    <row r="254" spans="1:16" ht="13.15" customHeight="1" x14ac:dyDescent="0.25">
      <c r="A254" s="1"/>
      <c r="B254" s="1"/>
      <c r="C254" s="1"/>
      <c r="D254" s="1"/>
      <c r="E254" s="1"/>
      <c r="F254" s="23" t="s">
        <v>827</v>
      </c>
      <c r="G254" s="23" t="s">
        <v>828</v>
      </c>
      <c r="H254" s="23" t="s">
        <v>394</v>
      </c>
      <c r="I254" s="1"/>
      <c r="J254" s="1"/>
      <c r="K254" s="1"/>
      <c r="L254" s="1"/>
      <c r="M254" s="1"/>
      <c r="N254" s="1"/>
      <c r="O254" s="1"/>
      <c r="P254" s="1"/>
    </row>
    <row r="255" spans="1:16" ht="13.15" customHeight="1" x14ac:dyDescent="0.25">
      <c r="A255" s="1"/>
      <c r="B255" s="1"/>
      <c r="C255" s="1"/>
      <c r="D255" s="1"/>
      <c r="E255" s="1"/>
      <c r="F255" s="23" t="s">
        <v>829</v>
      </c>
      <c r="G255" s="23" t="s">
        <v>828</v>
      </c>
      <c r="H255" s="23" t="s">
        <v>394</v>
      </c>
      <c r="I255" s="1"/>
      <c r="J255" s="1"/>
      <c r="K255" s="1"/>
      <c r="L255" s="1"/>
      <c r="M255" s="1"/>
      <c r="N255" s="1"/>
      <c r="O255" s="1"/>
      <c r="P255" s="1"/>
    </row>
    <row r="256" spans="1:16" ht="13.15" customHeight="1" x14ac:dyDescent="0.25">
      <c r="A256" s="1"/>
      <c r="B256" s="1"/>
      <c r="C256" s="1"/>
      <c r="D256" s="1"/>
      <c r="E256" s="1"/>
      <c r="F256" s="23" t="s">
        <v>830</v>
      </c>
      <c r="G256" s="23" t="s">
        <v>831</v>
      </c>
      <c r="H256" s="23" t="s">
        <v>394</v>
      </c>
      <c r="I256" s="1"/>
      <c r="J256" s="1"/>
      <c r="K256" s="1"/>
      <c r="L256" s="1"/>
      <c r="M256" s="1"/>
      <c r="N256" s="1"/>
      <c r="O256" s="1"/>
      <c r="P256" s="1"/>
    </row>
    <row r="257" spans="1:16" ht="13.15" customHeight="1" x14ac:dyDescent="0.25">
      <c r="A257" s="1"/>
      <c r="B257" s="1"/>
      <c r="C257" s="1"/>
      <c r="D257" s="1"/>
      <c r="E257" s="1"/>
      <c r="F257" s="23" t="s">
        <v>832</v>
      </c>
      <c r="G257" s="23" t="s">
        <v>831</v>
      </c>
      <c r="H257" s="23" t="s">
        <v>394</v>
      </c>
      <c r="I257" s="1"/>
      <c r="J257" s="1"/>
      <c r="K257" s="1"/>
      <c r="L257" s="1"/>
      <c r="M257" s="1"/>
      <c r="N257" s="1"/>
      <c r="O257" s="1"/>
      <c r="P257" s="1"/>
    </row>
    <row r="258" spans="1:16" ht="13.15" customHeight="1" x14ac:dyDescent="0.25">
      <c r="A258" s="1"/>
      <c r="B258" s="1"/>
      <c r="C258" s="1"/>
      <c r="D258" s="1"/>
      <c r="E258" s="1"/>
      <c r="F258" s="23" t="s">
        <v>833</v>
      </c>
      <c r="G258" s="23" t="s">
        <v>831</v>
      </c>
      <c r="H258" s="23" t="s">
        <v>394</v>
      </c>
      <c r="I258" s="1"/>
      <c r="J258" s="1"/>
      <c r="K258" s="1"/>
      <c r="L258" s="1"/>
      <c r="M258" s="1"/>
      <c r="N258" s="1"/>
      <c r="O258" s="1"/>
      <c r="P258" s="1"/>
    </row>
    <row r="259" spans="1:16" ht="13.15" customHeight="1" x14ac:dyDescent="0.25">
      <c r="A259" s="1"/>
      <c r="B259" s="1"/>
      <c r="C259" s="1"/>
      <c r="D259" s="1"/>
      <c r="E259" s="1"/>
      <c r="F259" s="23" t="s">
        <v>834</v>
      </c>
      <c r="G259" s="23" t="s">
        <v>831</v>
      </c>
      <c r="H259" s="23" t="s">
        <v>394</v>
      </c>
      <c r="I259" s="1"/>
      <c r="J259" s="1"/>
      <c r="K259" s="1"/>
      <c r="L259" s="1"/>
      <c r="M259" s="1"/>
      <c r="N259" s="1"/>
      <c r="O259" s="1"/>
      <c r="P259" s="1"/>
    </row>
    <row r="260" spans="1:16" ht="13.15" customHeight="1" x14ac:dyDescent="0.25">
      <c r="A260" s="1"/>
      <c r="B260" s="1"/>
      <c r="C260" s="1"/>
      <c r="D260" s="1"/>
      <c r="E260" s="1"/>
      <c r="F260" s="23" t="s">
        <v>835</v>
      </c>
      <c r="G260" s="23" t="s">
        <v>831</v>
      </c>
      <c r="H260" s="23" t="s">
        <v>394</v>
      </c>
      <c r="I260" s="1"/>
      <c r="J260" s="1"/>
      <c r="K260" s="1"/>
      <c r="L260" s="1"/>
      <c r="M260" s="1"/>
      <c r="N260" s="1"/>
      <c r="O260" s="1"/>
      <c r="P260" s="1"/>
    </row>
    <row r="261" spans="1:16" ht="13.15" customHeight="1" x14ac:dyDescent="0.25">
      <c r="A261" s="1"/>
      <c r="B261" s="1"/>
      <c r="C261" s="1"/>
      <c r="D261" s="1"/>
      <c r="E261" s="1"/>
      <c r="F261" s="23" t="s">
        <v>836</v>
      </c>
      <c r="G261" s="23" t="s">
        <v>837</v>
      </c>
      <c r="H261" s="23" t="s">
        <v>394</v>
      </c>
      <c r="I261" s="1"/>
      <c r="J261" s="1"/>
      <c r="K261" s="1"/>
      <c r="L261" s="1"/>
      <c r="M261" s="1"/>
      <c r="N261" s="1"/>
      <c r="O261" s="1"/>
      <c r="P261" s="1"/>
    </row>
    <row r="262" spans="1:16" ht="13.15" customHeight="1" x14ac:dyDescent="0.25">
      <c r="A262" s="1"/>
      <c r="B262" s="1"/>
      <c r="C262" s="1"/>
      <c r="D262" s="1"/>
      <c r="E262" s="1"/>
      <c r="F262" s="23" t="s">
        <v>838</v>
      </c>
      <c r="G262" s="23" t="s">
        <v>837</v>
      </c>
      <c r="H262" s="23" t="s">
        <v>394</v>
      </c>
      <c r="I262" s="1"/>
      <c r="J262" s="1"/>
      <c r="K262" s="1"/>
      <c r="L262" s="1"/>
      <c r="M262" s="1"/>
      <c r="N262" s="1"/>
      <c r="O262" s="1"/>
      <c r="P262" s="1"/>
    </row>
    <row r="263" spans="1:16" ht="13.15" customHeight="1" x14ac:dyDescent="0.25">
      <c r="A263" s="1"/>
      <c r="B263" s="1"/>
      <c r="C263" s="1"/>
      <c r="D263" s="1"/>
      <c r="E263" s="1"/>
      <c r="F263" s="23" t="s">
        <v>839</v>
      </c>
      <c r="G263" s="23" t="s">
        <v>837</v>
      </c>
      <c r="H263" s="23" t="s">
        <v>394</v>
      </c>
      <c r="I263" s="1"/>
      <c r="J263" s="1"/>
      <c r="K263" s="1"/>
      <c r="L263" s="1"/>
      <c r="M263" s="1"/>
      <c r="N263" s="1"/>
      <c r="O263" s="1"/>
      <c r="P263" s="1"/>
    </row>
    <row r="264" spans="1:16" ht="13.15" customHeight="1" x14ac:dyDescent="0.25">
      <c r="A264" s="1"/>
      <c r="B264" s="1"/>
      <c r="C264" s="1"/>
      <c r="D264" s="1"/>
      <c r="E264" s="1"/>
      <c r="F264" s="23" t="s">
        <v>840</v>
      </c>
      <c r="G264" s="23" t="s">
        <v>837</v>
      </c>
      <c r="H264" s="23" t="s">
        <v>394</v>
      </c>
      <c r="I264" s="1"/>
      <c r="J264" s="1"/>
      <c r="K264" s="1"/>
      <c r="L264" s="1"/>
      <c r="M264" s="1"/>
      <c r="N264" s="1"/>
      <c r="O264" s="1"/>
      <c r="P264" s="1"/>
    </row>
    <row r="265" spans="1:16" ht="13.15" customHeight="1" x14ac:dyDescent="0.25">
      <c r="A265" s="1"/>
      <c r="B265" s="1"/>
      <c r="C265" s="1"/>
      <c r="D265" s="1"/>
      <c r="E265" s="1"/>
      <c r="F265" s="23" t="s">
        <v>841</v>
      </c>
      <c r="G265" s="23" t="s">
        <v>837</v>
      </c>
      <c r="H265" s="23" t="s">
        <v>394</v>
      </c>
      <c r="I265" s="1"/>
      <c r="J265" s="1"/>
      <c r="K265" s="1"/>
      <c r="L265" s="1"/>
      <c r="M265" s="1"/>
      <c r="N265" s="1"/>
      <c r="O265" s="1"/>
      <c r="P265" s="1"/>
    </row>
    <row r="266" spans="1:16" ht="13.15" customHeight="1" x14ac:dyDescent="0.25">
      <c r="A266" s="1"/>
      <c r="B266" s="1"/>
      <c r="C266" s="1"/>
      <c r="D266" s="1"/>
      <c r="E266" s="1"/>
      <c r="F266" s="23" t="s">
        <v>842</v>
      </c>
      <c r="G266" s="23" t="s">
        <v>837</v>
      </c>
      <c r="H266" s="23" t="s">
        <v>394</v>
      </c>
      <c r="I266" s="1"/>
      <c r="J266" s="1"/>
      <c r="K266" s="1"/>
      <c r="L266" s="1"/>
      <c r="M266" s="1"/>
      <c r="N266" s="1"/>
      <c r="O266" s="1"/>
      <c r="P266" s="1"/>
    </row>
    <row r="267" spans="1:16" ht="13.15" customHeight="1" x14ac:dyDescent="0.25">
      <c r="A267" s="1"/>
      <c r="B267" s="1"/>
      <c r="C267" s="1"/>
      <c r="D267" s="1"/>
      <c r="E267" s="1"/>
      <c r="F267" s="23" t="s">
        <v>843</v>
      </c>
      <c r="G267" s="23" t="s">
        <v>837</v>
      </c>
      <c r="H267" s="23" t="s">
        <v>394</v>
      </c>
      <c r="I267" s="1"/>
      <c r="J267" s="1"/>
      <c r="K267" s="1"/>
      <c r="L267" s="1"/>
      <c r="M267" s="1"/>
      <c r="N267" s="1"/>
      <c r="O267" s="1"/>
      <c r="P267" s="1"/>
    </row>
    <row r="268" spans="1:16" ht="13.15" customHeight="1" x14ac:dyDescent="0.25">
      <c r="A268" s="1"/>
      <c r="B268" s="1"/>
      <c r="C268" s="1"/>
      <c r="D268" s="1"/>
      <c r="E268" s="1"/>
      <c r="F268" s="23" t="s">
        <v>844</v>
      </c>
      <c r="G268" s="23" t="s">
        <v>837</v>
      </c>
      <c r="H268" s="23" t="s">
        <v>394</v>
      </c>
      <c r="I268" s="1"/>
      <c r="J268" s="1"/>
      <c r="K268" s="1"/>
      <c r="L268" s="1"/>
      <c r="M268" s="1"/>
      <c r="N268" s="1"/>
      <c r="O268" s="1"/>
      <c r="P268" s="1"/>
    </row>
    <row r="269" spans="1:16" ht="13.15" customHeight="1" x14ac:dyDescent="0.25">
      <c r="A269" s="1"/>
      <c r="B269" s="1"/>
      <c r="C269" s="1"/>
      <c r="D269" s="1"/>
      <c r="E269" s="1"/>
      <c r="F269" s="23" t="s">
        <v>845</v>
      </c>
      <c r="G269" s="23" t="s">
        <v>837</v>
      </c>
      <c r="H269" s="23" t="s">
        <v>394</v>
      </c>
      <c r="I269" s="1"/>
      <c r="J269" s="1"/>
      <c r="K269" s="1"/>
      <c r="L269" s="1"/>
      <c r="M269" s="1"/>
      <c r="N269" s="1"/>
      <c r="O269" s="1"/>
      <c r="P269" s="1"/>
    </row>
    <row r="270" spans="1:16" ht="13.15" customHeight="1" x14ac:dyDescent="0.25">
      <c r="A270" s="1"/>
      <c r="B270" s="1"/>
      <c r="C270" s="1"/>
      <c r="D270" s="1"/>
      <c r="E270" s="1"/>
      <c r="F270" s="23" t="s">
        <v>846</v>
      </c>
      <c r="G270" s="23" t="s">
        <v>847</v>
      </c>
      <c r="H270" s="23" t="s">
        <v>394</v>
      </c>
      <c r="I270" s="1"/>
      <c r="J270" s="1"/>
      <c r="K270" s="1"/>
      <c r="L270" s="1"/>
      <c r="M270" s="1"/>
      <c r="N270" s="1"/>
      <c r="O270" s="1"/>
      <c r="P270" s="1"/>
    </row>
    <row r="271" spans="1:16" ht="13.15" customHeight="1" x14ac:dyDescent="0.25">
      <c r="A271" s="1"/>
      <c r="B271" s="1"/>
      <c r="C271" s="1"/>
      <c r="D271" s="1"/>
      <c r="E271" s="1"/>
      <c r="F271" s="23" t="s">
        <v>848</v>
      </c>
      <c r="G271" s="23" t="s">
        <v>849</v>
      </c>
      <c r="H271" s="23" t="s">
        <v>394</v>
      </c>
      <c r="I271" s="1"/>
      <c r="J271" s="1"/>
      <c r="K271" s="1"/>
      <c r="L271" s="1"/>
      <c r="M271" s="1"/>
      <c r="N271" s="1"/>
      <c r="O271" s="1"/>
      <c r="P271" s="1"/>
    </row>
    <row r="272" spans="1:16" ht="13.15" customHeight="1" x14ac:dyDescent="0.25">
      <c r="A272" s="1"/>
      <c r="B272" s="1"/>
      <c r="C272" s="1"/>
      <c r="D272" s="1"/>
      <c r="E272" s="1"/>
      <c r="F272" s="23" t="s">
        <v>850</v>
      </c>
      <c r="G272" s="23" t="s">
        <v>849</v>
      </c>
      <c r="H272" s="23" t="s">
        <v>394</v>
      </c>
      <c r="I272" s="1"/>
      <c r="J272" s="1"/>
      <c r="K272" s="1"/>
      <c r="L272" s="1"/>
      <c r="M272" s="1"/>
      <c r="N272" s="1"/>
      <c r="O272" s="1"/>
      <c r="P272" s="1"/>
    </row>
    <row r="273" spans="1:16" ht="13.15" customHeight="1" x14ac:dyDescent="0.25">
      <c r="A273" s="1"/>
      <c r="B273" s="1"/>
      <c r="C273" s="1"/>
      <c r="D273" s="1"/>
      <c r="E273" s="1"/>
      <c r="F273" s="23" t="s">
        <v>851</v>
      </c>
      <c r="G273" s="23" t="s">
        <v>852</v>
      </c>
      <c r="H273" s="23" t="s">
        <v>394</v>
      </c>
      <c r="I273" s="1"/>
      <c r="J273" s="1"/>
      <c r="K273" s="1"/>
      <c r="L273" s="1"/>
      <c r="M273" s="1"/>
      <c r="N273" s="1"/>
      <c r="O273" s="1"/>
      <c r="P273" s="1"/>
    </row>
    <row r="274" spans="1:16" ht="13.15" customHeight="1" x14ac:dyDescent="0.25">
      <c r="A274" s="1"/>
      <c r="B274" s="1"/>
      <c r="C274" s="1"/>
      <c r="D274" s="1"/>
      <c r="E274" s="1"/>
      <c r="F274" s="23" t="s">
        <v>853</v>
      </c>
      <c r="G274" s="23" t="s">
        <v>854</v>
      </c>
      <c r="H274" s="23" t="s">
        <v>394</v>
      </c>
      <c r="I274" s="1"/>
      <c r="J274" s="1"/>
      <c r="K274" s="1"/>
      <c r="L274" s="1"/>
      <c r="M274" s="1"/>
      <c r="N274" s="1"/>
      <c r="O274" s="1"/>
      <c r="P274" s="1"/>
    </row>
    <row r="275" spans="1:16" ht="13.15" customHeight="1" x14ac:dyDescent="0.25">
      <c r="A275" s="1"/>
      <c r="B275" s="1"/>
      <c r="C275" s="1"/>
      <c r="D275" s="1"/>
      <c r="E275" s="1"/>
      <c r="F275" s="23" t="s">
        <v>855</v>
      </c>
      <c r="G275" s="23" t="s">
        <v>855</v>
      </c>
      <c r="H275" s="23" t="s">
        <v>394</v>
      </c>
      <c r="I275" s="1"/>
      <c r="J275" s="1"/>
      <c r="K275" s="1"/>
      <c r="L275" s="1"/>
      <c r="M275" s="1"/>
      <c r="N275" s="1"/>
      <c r="O275" s="1"/>
      <c r="P275" s="1"/>
    </row>
    <row r="276" spans="1:16" ht="13.15" customHeight="1" x14ac:dyDescent="0.25">
      <c r="A276" s="1"/>
      <c r="B276" s="1"/>
      <c r="C276" s="1"/>
      <c r="D276" s="1"/>
      <c r="E276" s="1"/>
      <c r="F276" s="23" t="s">
        <v>856</v>
      </c>
      <c r="G276" s="23" t="s">
        <v>857</v>
      </c>
      <c r="H276" s="23" t="s">
        <v>394</v>
      </c>
      <c r="I276" s="1"/>
      <c r="J276" s="1"/>
      <c r="K276" s="1"/>
      <c r="L276" s="1"/>
      <c r="M276" s="1"/>
      <c r="N276" s="1"/>
      <c r="O276" s="1"/>
      <c r="P276" s="1"/>
    </row>
    <row r="277" spans="1:16" ht="13.15" customHeight="1" x14ac:dyDescent="0.25">
      <c r="A277" s="1"/>
      <c r="B277" s="1"/>
      <c r="C277" s="1"/>
      <c r="D277" s="1"/>
      <c r="E277" s="1"/>
      <c r="F277" s="23" t="s">
        <v>858</v>
      </c>
      <c r="G277" s="23" t="s">
        <v>859</v>
      </c>
      <c r="H277" s="23" t="s">
        <v>394</v>
      </c>
      <c r="I277" s="1"/>
      <c r="J277" s="1"/>
      <c r="K277" s="1"/>
      <c r="L277" s="1"/>
      <c r="M277" s="1"/>
      <c r="N277" s="1"/>
      <c r="O277" s="1"/>
      <c r="P277" s="1"/>
    </row>
    <row r="278" spans="1:16" ht="13.15" customHeight="1" x14ac:dyDescent="0.25">
      <c r="A278" s="1"/>
      <c r="B278" s="1"/>
      <c r="C278" s="1"/>
      <c r="D278" s="1"/>
      <c r="E278" s="1"/>
      <c r="F278" s="23" t="s">
        <v>860</v>
      </c>
      <c r="G278" s="23" t="s">
        <v>861</v>
      </c>
      <c r="H278" s="23" t="s">
        <v>394</v>
      </c>
      <c r="I278" s="1"/>
      <c r="J278" s="1"/>
      <c r="K278" s="1"/>
      <c r="L278" s="1"/>
      <c r="M278" s="1"/>
      <c r="N278" s="1"/>
      <c r="O278" s="1"/>
      <c r="P278" s="1"/>
    </row>
    <row r="279" spans="1:16" ht="13.15" customHeight="1" x14ac:dyDescent="0.25">
      <c r="A279" s="1"/>
      <c r="B279" s="1"/>
      <c r="C279" s="1"/>
      <c r="D279" s="1"/>
      <c r="E279" s="1"/>
      <c r="F279" s="23" t="s">
        <v>862</v>
      </c>
      <c r="G279" s="23" t="s">
        <v>861</v>
      </c>
      <c r="H279" s="23" t="s">
        <v>394</v>
      </c>
      <c r="I279" s="1"/>
      <c r="J279" s="1"/>
      <c r="K279" s="1"/>
      <c r="L279" s="1"/>
      <c r="M279" s="1"/>
      <c r="N279" s="1"/>
      <c r="O279" s="1"/>
      <c r="P279" s="1"/>
    </row>
    <row r="280" spans="1:16" ht="13.15" customHeight="1" x14ac:dyDescent="0.25">
      <c r="A280" s="1"/>
      <c r="B280" s="1"/>
      <c r="C280" s="1"/>
      <c r="D280" s="1"/>
      <c r="E280" s="1"/>
      <c r="F280" s="23" t="s">
        <v>863</v>
      </c>
      <c r="G280" s="23" t="s">
        <v>864</v>
      </c>
      <c r="H280" s="23" t="s">
        <v>394</v>
      </c>
      <c r="I280" s="1"/>
      <c r="J280" s="1"/>
      <c r="K280" s="1"/>
      <c r="L280" s="1"/>
      <c r="M280" s="1"/>
      <c r="N280" s="1"/>
      <c r="O280" s="1"/>
      <c r="P280" s="1"/>
    </row>
    <row r="281" spans="1:16" ht="13.15" customHeight="1" x14ac:dyDescent="0.25">
      <c r="A281" s="1"/>
      <c r="B281" s="1"/>
      <c r="C281" s="1"/>
      <c r="D281" s="1"/>
      <c r="E281" s="1"/>
      <c r="F281" s="23" t="s">
        <v>865</v>
      </c>
      <c r="G281" s="23" t="s">
        <v>866</v>
      </c>
      <c r="H281" s="23" t="s">
        <v>394</v>
      </c>
      <c r="I281" s="1"/>
      <c r="J281" s="1"/>
      <c r="K281" s="1"/>
      <c r="L281" s="1"/>
      <c r="M281" s="1"/>
      <c r="N281" s="1"/>
      <c r="O281" s="1"/>
      <c r="P281" s="1"/>
    </row>
    <row r="282" spans="1:16" ht="13.15" customHeight="1" x14ac:dyDescent="0.25">
      <c r="A282" s="1"/>
      <c r="B282" s="1"/>
      <c r="C282" s="1"/>
      <c r="D282" s="1"/>
      <c r="E282" s="1"/>
      <c r="F282" s="23" t="s">
        <v>867</v>
      </c>
      <c r="G282" s="23" t="s">
        <v>868</v>
      </c>
      <c r="H282" s="23" t="s">
        <v>394</v>
      </c>
      <c r="I282" s="1"/>
      <c r="J282" s="1"/>
      <c r="K282" s="1"/>
      <c r="L282" s="1"/>
      <c r="M282" s="1"/>
      <c r="N282" s="1"/>
      <c r="O282" s="1"/>
      <c r="P282" s="1"/>
    </row>
    <row r="283" spans="1:16" ht="13.15" customHeight="1" x14ac:dyDescent="0.25">
      <c r="A283" s="1"/>
      <c r="B283" s="1"/>
      <c r="C283" s="1"/>
      <c r="D283" s="1"/>
      <c r="E283" s="1"/>
      <c r="F283" s="23" t="s">
        <v>869</v>
      </c>
      <c r="G283" s="23" t="s">
        <v>870</v>
      </c>
      <c r="H283" s="23" t="s">
        <v>394</v>
      </c>
      <c r="I283" s="1"/>
      <c r="J283" s="1"/>
      <c r="K283" s="1"/>
      <c r="L283" s="1"/>
      <c r="M283" s="1"/>
      <c r="N283" s="1"/>
      <c r="O283" s="1"/>
      <c r="P283" s="1"/>
    </row>
    <row r="284" spans="1:16" ht="13.15" customHeight="1" x14ac:dyDescent="0.25">
      <c r="A284" s="1"/>
      <c r="B284" s="1"/>
      <c r="C284" s="1"/>
      <c r="D284" s="1"/>
      <c r="E284" s="1"/>
      <c r="F284" s="23" t="s">
        <v>871</v>
      </c>
      <c r="G284" s="23" t="s">
        <v>872</v>
      </c>
      <c r="H284" s="23" t="s">
        <v>394</v>
      </c>
      <c r="I284" s="1"/>
      <c r="J284" s="1"/>
      <c r="K284" s="1"/>
      <c r="L284" s="1"/>
      <c r="M284" s="1"/>
      <c r="N284" s="1"/>
      <c r="O284" s="1"/>
      <c r="P284" s="1"/>
    </row>
    <row r="285" spans="1:16" ht="13.15" customHeight="1" x14ac:dyDescent="0.25">
      <c r="A285" s="1"/>
      <c r="B285" s="1"/>
      <c r="C285" s="1"/>
      <c r="D285" s="1"/>
      <c r="E285" s="1"/>
      <c r="F285" s="23" t="s">
        <v>873</v>
      </c>
      <c r="G285" s="23" t="s">
        <v>874</v>
      </c>
      <c r="H285" s="23" t="s">
        <v>394</v>
      </c>
      <c r="I285" s="1"/>
      <c r="J285" s="1"/>
      <c r="K285" s="1"/>
      <c r="L285" s="1"/>
      <c r="M285" s="1"/>
      <c r="N285" s="1"/>
      <c r="O285" s="1"/>
      <c r="P285" s="1"/>
    </row>
    <row r="286" spans="1:16" ht="13.15" customHeight="1" x14ac:dyDescent="0.25">
      <c r="A286" s="1"/>
      <c r="B286" s="1"/>
      <c r="C286" s="1"/>
      <c r="D286" s="1"/>
      <c r="E286" s="1"/>
      <c r="F286" s="23" t="s">
        <v>875</v>
      </c>
      <c r="G286" s="23" t="s">
        <v>876</v>
      </c>
      <c r="H286" s="23" t="s">
        <v>394</v>
      </c>
      <c r="I286" s="1"/>
      <c r="J286" s="1"/>
      <c r="K286" s="1"/>
      <c r="L286" s="1"/>
      <c r="M286" s="1"/>
      <c r="N286" s="1"/>
      <c r="O286" s="1"/>
      <c r="P286" s="1"/>
    </row>
    <row r="287" spans="1:16" ht="13.15" customHeight="1" x14ac:dyDescent="0.25">
      <c r="A287" s="1"/>
      <c r="B287" s="1"/>
      <c r="C287" s="1"/>
      <c r="D287" s="1"/>
      <c r="E287" s="1"/>
      <c r="F287" s="23" t="s">
        <v>877</v>
      </c>
      <c r="G287" s="23" t="s">
        <v>811</v>
      </c>
      <c r="H287" s="23" t="s">
        <v>394</v>
      </c>
      <c r="I287" s="1"/>
      <c r="J287" s="1"/>
      <c r="K287" s="1"/>
      <c r="L287" s="1"/>
      <c r="M287" s="1"/>
      <c r="N287" s="1"/>
      <c r="O287" s="1"/>
      <c r="P287" s="1"/>
    </row>
    <row r="288" spans="1:16" ht="13.15" customHeight="1" x14ac:dyDescent="0.25">
      <c r="A288" s="1"/>
      <c r="B288" s="1"/>
      <c r="C288" s="1"/>
      <c r="D288" s="1"/>
      <c r="E288" s="1"/>
      <c r="F288" s="23" t="s">
        <v>878</v>
      </c>
      <c r="G288" s="23" t="s">
        <v>811</v>
      </c>
      <c r="H288" s="23" t="s">
        <v>394</v>
      </c>
      <c r="I288" s="1"/>
      <c r="J288" s="1"/>
      <c r="K288" s="1"/>
      <c r="L288" s="1"/>
      <c r="M288" s="1"/>
      <c r="N288" s="1"/>
      <c r="O288" s="1"/>
      <c r="P288" s="1"/>
    </row>
    <row r="289" spans="1:16" ht="13.15" customHeight="1" x14ac:dyDescent="0.25">
      <c r="A289" s="1"/>
      <c r="B289" s="1"/>
      <c r="C289" s="1"/>
      <c r="D289" s="1"/>
      <c r="E289" s="1"/>
      <c r="F289" s="23" t="s">
        <v>879</v>
      </c>
      <c r="G289" s="23" t="s">
        <v>811</v>
      </c>
      <c r="H289" s="23" t="s">
        <v>394</v>
      </c>
      <c r="I289" s="1"/>
      <c r="J289" s="1"/>
      <c r="K289" s="1"/>
      <c r="L289" s="1"/>
      <c r="M289" s="1"/>
      <c r="N289" s="1"/>
      <c r="O289" s="1"/>
      <c r="P289" s="1"/>
    </row>
    <row r="290" spans="1:16" ht="13.15" customHeight="1" x14ac:dyDescent="0.25">
      <c r="A290" s="1"/>
      <c r="B290" s="1"/>
      <c r="C290" s="1"/>
      <c r="D290" s="1"/>
      <c r="E290" s="1"/>
      <c r="F290" s="23" t="s">
        <v>880</v>
      </c>
      <c r="G290" s="23" t="s">
        <v>811</v>
      </c>
      <c r="H290" s="23" t="s">
        <v>394</v>
      </c>
      <c r="I290" s="1"/>
      <c r="J290" s="1"/>
      <c r="K290" s="1"/>
      <c r="L290" s="1"/>
      <c r="M290" s="1"/>
      <c r="N290" s="1"/>
      <c r="O290" s="1"/>
      <c r="P290" s="1"/>
    </row>
    <row r="291" spans="1:16" ht="13.15" customHeight="1" x14ac:dyDescent="0.25">
      <c r="A291" s="1"/>
      <c r="B291" s="1"/>
      <c r="C291" s="1"/>
      <c r="D291" s="1"/>
      <c r="E291" s="1"/>
      <c r="F291" s="23" t="s">
        <v>881</v>
      </c>
      <c r="G291" s="23" t="s">
        <v>811</v>
      </c>
      <c r="H291" s="23" t="s">
        <v>394</v>
      </c>
      <c r="I291" s="1"/>
      <c r="J291" s="1"/>
      <c r="K291" s="1"/>
      <c r="L291" s="1"/>
      <c r="M291" s="1"/>
      <c r="N291" s="1"/>
      <c r="O291" s="1"/>
      <c r="P291" s="1"/>
    </row>
    <row r="292" spans="1:16" ht="13.15" customHeight="1" x14ac:dyDescent="0.25">
      <c r="A292" s="1"/>
      <c r="B292" s="1"/>
      <c r="C292" s="1"/>
      <c r="D292" s="1"/>
      <c r="E292" s="1"/>
      <c r="F292" s="23" t="s">
        <v>882</v>
      </c>
      <c r="G292" s="23" t="s">
        <v>811</v>
      </c>
      <c r="H292" s="23" t="s">
        <v>394</v>
      </c>
      <c r="I292" s="1"/>
      <c r="J292" s="1"/>
      <c r="K292" s="1"/>
      <c r="L292" s="1"/>
      <c r="M292" s="1"/>
      <c r="N292" s="1"/>
      <c r="O292" s="1"/>
      <c r="P292" s="1"/>
    </row>
    <row r="293" spans="1:16" ht="13.15" customHeight="1" x14ac:dyDescent="0.25">
      <c r="A293" s="1"/>
      <c r="B293" s="1"/>
      <c r="C293" s="1"/>
      <c r="D293" s="1"/>
      <c r="E293" s="1"/>
      <c r="F293" s="23" t="s">
        <v>883</v>
      </c>
      <c r="G293" s="23" t="s">
        <v>811</v>
      </c>
      <c r="H293" s="23" t="s">
        <v>394</v>
      </c>
      <c r="I293" s="1"/>
      <c r="J293" s="1"/>
      <c r="K293" s="1"/>
      <c r="L293" s="1"/>
      <c r="M293" s="1"/>
      <c r="N293" s="1"/>
      <c r="O293" s="1"/>
      <c r="P293" s="1"/>
    </row>
    <row r="294" spans="1:16" ht="13.15" customHeight="1" x14ac:dyDescent="0.25">
      <c r="A294" s="1"/>
      <c r="B294" s="1"/>
      <c r="C294" s="1"/>
      <c r="D294" s="1"/>
      <c r="E294" s="1"/>
      <c r="F294" s="23" t="s">
        <v>884</v>
      </c>
      <c r="G294" s="23" t="s">
        <v>811</v>
      </c>
      <c r="H294" s="23" t="s">
        <v>394</v>
      </c>
      <c r="I294" s="1"/>
      <c r="J294" s="1"/>
      <c r="K294" s="1"/>
      <c r="L294" s="1"/>
      <c r="M294" s="1"/>
      <c r="N294" s="1"/>
      <c r="O294" s="1"/>
      <c r="P294" s="1"/>
    </row>
    <row r="295" spans="1:16" ht="13.15" customHeight="1" x14ac:dyDescent="0.25">
      <c r="A295" s="1"/>
      <c r="B295" s="1"/>
      <c r="C295" s="1"/>
      <c r="D295" s="1"/>
      <c r="E295" s="1"/>
      <c r="F295" s="23" t="s">
        <v>885</v>
      </c>
      <c r="G295" s="23" t="s">
        <v>811</v>
      </c>
      <c r="H295" s="23" t="s">
        <v>394</v>
      </c>
      <c r="I295" s="1"/>
      <c r="J295" s="1"/>
      <c r="K295" s="1"/>
      <c r="L295" s="1"/>
      <c r="M295" s="1"/>
      <c r="N295" s="1"/>
      <c r="O295" s="1"/>
      <c r="P295" s="1"/>
    </row>
    <row r="296" spans="1:16" ht="13.15" customHeight="1" x14ac:dyDescent="0.25">
      <c r="A296" s="1"/>
      <c r="B296" s="1"/>
      <c r="C296" s="1"/>
      <c r="D296" s="1"/>
      <c r="E296" s="1"/>
      <c r="F296" s="23" t="s">
        <v>886</v>
      </c>
      <c r="G296" s="23" t="s">
        <v>811</v>
      </c>
      <c r="H296" s="23" t="s">
        <v>394</v>
      </c>
      <c r="I296" s="1"/>
      <c r="J296" s="1"/>
      <c r="K296" s="1"/>
      <c r="L296" s="1"/>
      <c r="M296" s="1"/>
      <c r="N296" s="1"/>
      <c r="O296" s="1"/>
      <c r="P296" s="1"/>
    </row>
    <row r="297" spans="1:16" ht="13.15" customHeight="1" x14ac:dyDescent="0.25">
      <c r="A297" s="1"/>
      <c r="B297" s="1"/>
      <c r="C297" s="1"/>
      <c r="D297" s="1"/>
      <c r="E297" s="1"/>
      <c r="F297" s="23" t="s">
        <v>887</v>
      </c>
      <c r="G297" s="23" t="s">
        <v>888</v>
      </c>
      <c r="H297" s="23" t="s">
        <v>394</v>
      </c>
      <c r="I297" s="1"/>
      <c r="J297" s="1"/>
      <c r="K297" s="1"/>
      <c r="L297" s="1"/>
      <c r="M297" s="1"/>
      <c r="N297" s="1"/>
      <c r="O297" s="1"/>
      <c r="P297" s="1"/>
    </row>
    <row r="298" spans="1:16" ht="13.15" customHeight="1" x14ac:dyDescent="0.25">
      <c r="A298" s="1"/>
      <c r="B298" s="1"/>
      <c r="C298" s="1"/>
      <c r="D298" s="1"/>
      <c r="E298" s="1"/>
      <c r="F298" s="23" t="s">
        <v>889</v>
      </c>
      <c r="G298" s="23" t="s">
        <v>890</v>
      </c>
      <c r="H298" s="23" t="s">
        <v>394</v>
      </c>
      <c r="I298" s="1"/>
      <c r="J298" s="1"/>
      <c r="K298" s="1"/>
      <c r="L298" s="1"/>
      <c r="M298" s="1"/>
      <c r="N298" s="1"/>
      <c r="O298" s="1"/>
      <c r="P298" s="1"/>
    </row>
    <row r="299" spans="1:16" ht="13.15" customHeight="1" x14ac:dyDescent="0.25">
      <c r="A299" s="1"/>
      <c r="B299" s="1"/>
      <c r="C299" s="1"/>
      <c r="D299" s="1"/>
      <c r="E299" s="1"/>
      <c r="F299" s="23" t="s">
        <v>891</v>
      </c>
      <c r="G299" s="23" t="s">
        <v>892</v>
      </c>
      <c r="H299" s="23" t="s">
        <v>394</v>
      </c>
      <c r="I299" s="1"/>
      <c r="J299" s="1"/>
      <c r="K299" s="1"/>
      <c r="L299" s="1"/>
      <c r="M299" s="1"/>
      <c r="N299" s="1"/>
      <c r="O299" s="1"/>
      <c r="P299" s="1"/>
    </row>
    <row r="300" spans="1:16" ht="13.15" customHeight="1" x14ac:dyDescent="0.25">
      <c r="A300" s="1"/>
      <c r="B300" s="1"/>
      <c r="C300" s="1"/>
      <c r="D300" s="1"/>
      <c r="E300" s="1"/>
      <c r="F300" s="23" t="s">
        <v>893</v>
      </c>
      <c r="G300" s="23" t="s">
        <v>894</v>
      </c>
      <c r="H300" s="23" t="s">
        <v>394</v>
      </c>
      <c r="I300" s="1"/>
      <c r="J300" s="1"/>
      <c r="K300" s="1"/>
      <c r="L300" s="1"/>
      <c r="M300" s="1"/>
      <c r="N300" s="1"/>
      <c r="O300" s="1"/>
      <c r="P300" s="1"/>
    </row>
    <row r="301" spans="1:16" ht="13.15" customHeight="1" x14ac:dyDescent="0.25">
      <c r="A301" s="1"/>
      <c r="B301" s="1"/>
      <c r="C301" s="1"/>
      <c r="D301" s="1"/>
      <c r="E301" s="1"/>
      <c r="F301" s="23" t="s">
        <v>895</v>
      </c>
      <c r="G301" s="23" t="s">
        <v>896</v>
      </c>
      <c r="H301" s="23" t="s">
        <v>394</v>
      </c>
      <c r="I301" s="1"/>
      <c r="J301" s="1"/>
      <c r="K301" s="1"/>
      <c r="L301" s="1"/>
      <c r="M301" s="1"/>
      <c r="N301" s="1"/>
      <c r="O301" s="1"/>
      <c r="P301" s="1"/>
    </row>
    <row r="302" spans="1:16" ht="13.15" customHeight="1" x14ac:dyDescent="0.25">
      <c r="A302" s="1"/>
      <c r="B302" s="1"/>
      <c r="C302" s="1"/>
      <c r="D302" s="1"/>
      <c r="E302" s="1"/>
      <c r="F302" s="23" t="s">
        <v>897</v>
      </c>
      <c r="G302" s="23" t="s">
        <v>898</v>
      </c>
      <c r="H302" s="23" t="s">
        <v>394</v>
      </c>
      <c r="I302" s="1"/>
      <c r="J302" s="1"/>
      <c r="K302" s="1"/>
      <c r="L302" s="1"/>
      <c r="M302" s="1"/>
      <c r="N302" s="1"/>
      <c r="O302" s="1"/>
      <c r="P302" s="1"/>
    </row>
    <row r="303" spans="1:16" ht="13.15" customHeight="1" x14ac:dyDescent="0.25">
      <c r="A303" s="1"/>
      <c r="B303" s="1"/>
      <c r="C303" s="1"/>
      <c r="D303" s="1"/>
      <c r="E303" s="1"/>
      <c r="F303" s="23" t="s">
        <v>899</v>
      </c>
      <c r="G303" s="23" t="s">
        <v>900</v>
      </c>
      <c r="H303" s="23" t="s">
        <v>394</v>
      </c>
      <c r="I303" s="1"/>
      <c r="J303" s="1"/>
      <c r="K303" s="1"/>
      <c r="L303" s="1"/>
      <c r="M303" s="1"/>
      <c r="N303" s="1"/>
      <c r="O303" s="1"/>
      <c r="P303" s="1"/>
    </row>
    <row r="304" spans="1:16" ht="13.15" customHeight="1" x14ac:dyDescent="0.25">
      <c r="A304" s="1"/>
      <c r="B304" s="1"/>
      <c r="C304" s="1"/>
      <c r="D304" s="1"/>
      <c r="E304" s="1"/>
      <c r="F304" s="23" t="s">
        <v>901</v>
      </c>
      <c r="G304" s="23" t="s">
        <v>902</v>
      </c>
      <c r="H304" s="23" t="s">
        <v>394</v>
      </c>
      <c r="I304" s="1"/>
      <c r="J304" s="1"/>
      <c r="K304" s="1"/>
      <c r="L304" s="1"/>
      <c r="M304" s="1"/>
      <c r="N304" s="1"/>
      <c r="O304" s="1"/>
      <c r="P304" s="1"/>
    </row>
    <row r="305" spans="1:16" ht="13.15" customHeight="1" x14ac:dyDescent="0.25">
      <c r="A305" s="1"/>
      <c r="B305" s="1"/>
      <c r="C305" s="1"/>
      <c r="D305" s="1"/>
      <c r="E305" s="1"/>
      <c r="F305" s="23" t="s">
        <v>903</v>
      </c>
      <c r="G305" s="23" t="s">
        <v>904</v>
      </c>
      <c r="H305" s="23" t="s">
        <v>394</v>
      </c>
      <c r="I305" s="1"/>
      <c r="J305" s="1"/>
      <c r="K305" s="1"/>
      <c r="L305" s="1"/>
      <c r="M305" s="1"/>
      <c r="N305" s="1"/>
      <c r="O305" s="1"/>
      <c r="P305" s="1"/>
    </row>
    <row r="306" spans="1:16" ht="13.15" customHeight="1" x14ac:dyDescent="0.25">
      <c r="A306" s="1"/>
      <c r="B306" s="1"/>
      <c r="C306" s="1"/>
      <c r="D306" s="1"/>
      <c r="E306" s="1"/>
      <c r="F306" s="23" t="s">
        <v>905</v>
      </c>
      <c r="G306" s="23" t="s">
        <v>906</v>
      </c>
      <c r="H306" s="23" t="s">
        <v>394</v>
      </c>
      <c r="I306" s="1"/>
      <c r="J306" s="1"/>
      <c r="K306" s="1"/>
      <c r="L306" s="1"/>
      <c r="M306" s="1"/>
      <c r="N306" s="1"/>
      <c r="O306" s="1"/>
      <c r="P306" s="1"/>
    </row>
    <row r="307" spans="1:16" ht="13.15" customHeight="1" x14ac:dyDescent="0.25">
      <c r="A307" s="1"/>
      <c r="B307" s="1"/>
      <c r="C307" s="1"/>
      <c r="D307" s="1"/>
      <c r="E307" s="1"/>
      <c r="F307" s="23" t="s">
        <v>907</v>
      </c>
      <c r="G307" s="23" t="s">
        <v>908</v>
      </c>
      <c r="H307" s="23" t="s">
        <v>394</v>
      </c>
      <c r="I307" s="1"/>
      <c r="J307" s="1"/>
      <c r="K307" s="1"/>
      <c r="L307" s="1"/>
      <c r="M307" s="1"/>
      <c r="N307" s="1"/>
      <c r="O307" s="1"/>
      <c r="P307" s="1"/>
    </row>
    <row r="308" spans="1:16" ht="13.15" customHeight="1" x14ac:dyDescent="0.25">
      <c r="A308" s="1"/>
      <c r="B308" s="1"/>
      <c r="C308" s="1"/>
      <c r="D308" s="1"/>
      <c r="E308" s="1"/>
      <c r="F308" s="20" t="s">
        <v>909</v>
      </c>
      <c r="G308" s="20" t="s">
        <v>631</v>
      </c>
      <c r="H308" s="20" t="s">
        <v>381</v>
      </c>
      <c r="I308" s="1"/>
      <c r="J308" s="1"/>
      <c r="K308" s="1"/>
      <c r="L308" s="1"/>
      <c r="M308" s="1"/>
      <c r="N308" s="1"/>
      <c r="O308" s="1"/>
      <c r="P308" s="1"/>
    </row>
    <row r="309" spans="1:16" ht="13.15" customHeight="1" x14ac:dyDescent="0.25">
      <c r="A309" s="1"/>
      <c r="B309" s="1"/>
      <c r="C309" s="1"/>
      <c r="D309" s="1"/>
      <c r="E309" s="1"/>
      <c r="F309" s="20" t="s">
        <v>770</v>
      </c>
      <c r="G309" s="20" t="s">
        <v>770</v>
      </c>
      <c r="H309" s="20" t="s">
        <v>910</v>
      </c>
      <c r="I309" s="1"/>
      <c r="J309" s="1"/>
      <c r="K309" s="1"/>
      <c r="L309" s="1"/>
      <c r="M309" s="1"/>
      <c r="N309" s="1"/>
      <c r="O309" s="1"/>
      <c r="P309" s="1"/>
    </row>
    <row r="310" spans="1:16" ht="13.15" customHeight="1" x14ac:dyDescent="0.25">
      <c r="A310" s="1"/>
      <c r="B310" s="1"/>
      <c r="C310" s="1"/>
      <c r="D310" s="1"/>
      <c r="E310" s="1"/>
      <c r="F310" s="20" t="s">
        <v>911</v>
      </c>
      <c r="G310" s="20" t="s">
        <v>828</v>
      </c>
      <c r="H310" s="20" t="s">
        <v>394</v>
      </c>
      <c r="I310" s="1"/>
      <c r="J310" s="1"/>
      <c r="K310" s="1"/>
      <c r="L310" s="1"/>
      <c r="M310" s="1"/>
      <c r="N310" s="1"/>
      <c r="O310" s="1"/>
      <c r="P310" s="1"/>
    </row>
    <row r="311" spans="1:16" ht="13.15" customHeight="1" x14ac:dyDescent="0.25">
      <c r="A311" s="1"/>
      <c r="B311" s="1"/>
      <c r="C311" s="1"/>
      <c r="D311" s="1"/>
      <c r="E311" s="1"/>
      <c r="F311" s="20" t="s">
        <v>665</v>
      </c>
      <c r="G311" s="20" t="s">
        <v>666</v>
      </c>
      <c r="H311" s="20" t="s">
        <v>381</v>
      </c>
      <c r="I311" s="1"/>
      <c r="J311" s="1"/>
      <c r="K311" s="1"/>
      <c r="L311" s="1"/>
      <c r="M311" s="1"/>
      <c r="N311" s="1"/>
      <c r="O311" s="1"/>
      <c r="P311" s="1"/>
    </row>
    <row r="312" spans="1:16" ht="13.15" customHeight="1" x14ac:dyDescent="0.25">
      <c r="A312" s="1"/>
      <c r="B312" s="1"/>
      <c r="C312" s="1"/>
      <c r="D312" s="1"/>
      <c r="E312" s="1"/>
      <c r="F312" s="20" t="s">
        <v>868</v>
      </c>
      <c r="G312" s="20" t="s">
        <v>868</v>
      </c>
      <c r="H312" s="20" t="s">
        <v>394</v>
      </c>
      <c r="I312" s="1"/>
      <c r="J312" s="1"/>
      <c r="K312" s="1"/>
      <c r="L312" s="1"/>
      <c r="M312" s="1"/>
      <c r="N312" s="1"/>
      <c r="O312" s="1"/>
      <c r="P312" s="1"/>
    </row>
    <row r="313" spans="1:16" ht="13.15" customHeight="1" x14ac:dyDescent="0.25">
      <c r="A313" s="1"/>
      <c r="B313" s="1"/>
      <c r="C313" s="1"/>
      <c r="D313" s="1"/>
      <c r="E313" s="1"/>
      <c r="F313" s="24"/>
      <c r="G313" s="24"/>
      <c r="H313" s="24"/>
      <c r="I313" s="1"/>
      <c r="J313" s="1"/>
      <c r="K313" s="1"/>
      <c r="L313" s="1"/>
      <c r="M313" s="1"/>
      <c r="N313" s="1"/>
      <c r="O313" s="1"/>
      <c r="P313" s="1"/>
    </row>
  </sheetData>
  <pageMargins left="0.7" right="0.7" top="0.75" bottom="0.75" header="0.3" footer="0.3"/>
  <headerFooter>
    <oddHeader>&amp;L&amp;"Calibri"&amp;10&amp;K000000 Sensitivity Label: CGIF Internal&amp;1#_x000D_</oddHeader>
  </headerFooter>
  <tableParts count="10">
    <tablePart r:id="rId1"/>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MEDEVAC Case Log</vt:lpstr>
      <vt:lpstr>FY2023 MEDEVAC Tracker</vt:lpstr>
      <vt:lpstr>MEDEVAC Add'l Travlr Calculator</vt:lpstr>
      <vt:lpstr>List</vt:lpstr>
    </vt:vector>
  </TitlesOfParts>
  <Manager/>
  <Company>CGI Federal,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Shams, Mohammad (CGI Federal)</dc:creator>
  <cp:keywords/>
  <dc:description/>
  <cp:lastModifiedBy>Sack, Vinson C (CGI Federal)</cp:lastModifiedBy>
  <cp:revision/>
  <dcterms:created xsi:type="dcterms:W3CDTF">2025-11-06T19:38:45Z</dcterms:created>
  <dcterms:modified xsi:type="dcterms:W3CDTF">2025-11-24T18:50:33Z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4622de-cbbc-48f4-b988-cdd62157fdbd_Enabled">
    <vt:lpwstr>true</vt:lpwstr>
  </property>
  <property fmtid="{D5CDD505-2E9C-101B-9397-08002B2CF9AE}" pid="3" name="MSIP_Label_bf4622de-cbbc-48f4-b988-cdd62157fdbd_SetDate">
    <vt:lpwstr>2025-11-06T19:56:16Z</vt:lpwstr>
  </property>
  <property fmtid="{D5CDD505-2E9C-101B-9397-08002B2CF9AE}" pid="4" name="MSIP_Label_bf4622de-cbbc-48f4-b988-cdd62157fdbd_Method">
    <vt:lpwstr>Privileged</vt:lpwstr>
  </property>
  <property fmtid="{D5CDD505-2E9C-101B-9397-08002B2CF9AE}" pid="5" name="MSIP_Label_bf4622de-cbbc-48f4-b988-cdd62157fdbd_Name">
    <vt:lpwstr>CGIF-I-Internal</vt:lpwstr>
  </property>
  <property fmtid="{D5CDD505-2E9C-101B-9397-08002B2CF9AE}" pid="6" name="MSIP_Label_bf4622de-cbbc-48f4-b988-cdd62157fdbd_SiteId">
    <vt:lpwstr>b6ed5b7e-5de0-464b-95c0-acbb43267417</vt:lpwstr>
  </property>
  <property fmtid="{D5CDD505-2E9C-101B-9397-08002B2CF9AE}" pid="7" name="MSIP_Label_bf4622de-cbbc-48f4-b988-cdd62157fdbd_ActionId">
    <vt:lpwstr>52fade33-770d-40b8-930b-7d962a471d2a</vt:lpwstr>
  </property>
  <property fmtid="{D5CDD505-2E9C-101B-9397-08002B2CF9AE}" pid="8" name="MSIP_Label_bf4622de-cbbc-48f4-b988-cdd62157fdbd_ContentBits">
    <vt:lpwstr>1</vt:lpwstr>
  </property>
  <property fmtid="{D5CDD505-2E9C-101B-9397-08002B2CF9AE}" pid="9" name="MSIP_Label_bf4622de-cbbc-48f4-b988-cdd62157fdbd_Tag">
    <vt:lpwstr>10, 0, 1, 1</vt:lpwstr>
  </property>
</Properties>
</file>